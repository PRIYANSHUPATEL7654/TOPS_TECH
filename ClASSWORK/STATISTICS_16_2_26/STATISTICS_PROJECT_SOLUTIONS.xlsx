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MY DATA\GITHUB DATA\TOPS_TECH\ClASSWORK\STATISTICS_16_2_26\"/>
    </mc:Choice>
  </mc:AlternateContent>
  <xr:revisionPtr revIDLastSave="0" documentId="13_ncr:1_{0FA52E30-D882-4295-9492-518C4D7429A8}" xr6:coauthVersionLast="47" xr6:coauthVersionMax="47" xr10:uidLastSave="{00000000-0000-0000-0000-000000000000}"/>
  <bookViews>
    <workbookView xWindow="-110" yWindow="-110" windowWidth="19420" windowHeight="10300" activeTab="2" xr2:uid="{00000000-000D-0000-FFFF-FFFF00000000}"/>
  </bookViews>
  <sheets>
    <sheet name="Session1_Project" sheetId="4" r:id="rId1"/>
    <sheet name="Session2_Project" sheetId="5" r:id="rId2"/>
    <sheet name="Session3_Project" sheetId="2" r:id="rId3"/>
    <sheet name="Session4_Project" sheetId="3" r:id="rId4"/>
    <sheet name="Session5_Project" sheetId="6" r:id="rId5"/>
    <sheet name="Session6_Project" sheetId="7" r:id="rId6"/>
    <sheet name="Session7_Project" sheetId="8" r:id="rId7"/>
    <sheet name="Session10_Project" sheetId="9" r:id="rId8"/>
    <sheet name="Session12_Project" sheetId="10" r:id="rId9"/>
    <sheet name="Session13_Project" sheetId="11" r:id="rId10"/>
    <sheet name="Session14_Project" sheetId="12" r:id="rId11"/>
    <sheet name="Session15_Project" sheetId="13" r:id="rId12"/>
    <sheet name="Session16_Project" sheetId="14" r:id="rId13"/>
    <sheet name="Session17_Project" sheetId="15" r:id="rId14"/>
    <sheet name="Session_1_Project" sheetId="16" r:id="rId15"/>
    <sheet name="Session_2_Project" sheetId="17" r:id="rId16"/>
    <sheet name="Session_3_Project" sheetId="18" r:id="rId17"/>
    <sheet name="Session_4_Project" sheetId="19" r:id="rId1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43" i="4" l="1"/>
  <c r="B23" i="19"/>
  <c r="B23" i="19" a="1"/>
  <c r="B19" i="19"/>
  <c r="B19" i="19" a="1"/>
  <c r="B16" i="19"/>
  <c r="B21" i="18"/>
  <c r="B21" i="18" a="1"/>
  <c r="B16" i="18"/>
  <c r="B16" i="18" a="1"/>
  <c r="B20" i="17" a="1"/>
  <c r="B20" i="17" s="1"/>
  <c r="B15" i="17" a="1"/>
  <c r="B15" i="17" s="1"/>
  <c r="A29" i="16"/>
  <c r="A26" i="16"/>
  <c r="A23" i="16"/>
  <c r="A20" i="16"/>
  <c r="A17" i="16"/>
  <c r="A15" i="15"/>
  <c r="A19" i="14"/>
  <c r="A17" i="14"/>
  <c r="A15" i="14"/>
  <c r="A40" i="13"/>
  <c r="G14" i="13"/>
  <c r="E14" i="13"/>
  <c r="C14" i="13"/>
  <c r="A14" i="13"/>
  <c r="A33" i="12"/>
  <c r="A24" i="12"/>
  <c r="A29" i="11"/>
  <c r="A26" i="11"/>
  <c r="A23" i="11"/>
  <c r="A21" i="11"/>
  <c r="A23" i="10"/>
  <c r="A20" i="10"/>
  <c r="A17" i="10"/>
  <c r="A15" i="10"/>
  <c r="A20" i="9"/>
  <c r="A18" i="9"/>
  <c r="A16" i="9"/>
  <c r="A14" i="9"/>
  <c r="A27" i="8"/>
  <c r="A25" i="8"/>
  <c r="A23" i="8"/>
  <c r="A22" i="8"/>
  <c r="A20" i="8"/>
  <c r="A18" i="8"/>
  <c r="A16" i="8"/>
  <c r="A14" i="8"/>
  <c r="A22" i="7"/>
  <c r="A20" i="7"/>
  <c r="A18" i="7"/>
  <c r="A16" i="7"/>
  <c r="A14" i="7"/>
  <c r="C9" i="3"/>
  <c r="B9" i="3"/>
  <c r="B8" i="3"/>
  <c r="B7" i="3"/>
  <c r="B15" i="2"/>
  <c r="B14" i="2"/>
  <c r="B10" i="2"/>
  <c r="B9" i="2"/>
  <c r="D13" i="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<sst xmlns="http://schemas.openxmlformats.org/spreadsheetml/2006/main" count="399" uniqueCount="268">
  <si>
    <t>CustomerID</t>
  </si>
  <si>
    <t>Sales</t>
  </si>
  <si>
    <t>Month</t>
  </si>
  <si>
    <t>M1</t>
  </si>
  <si>
    <t>M2</t>
  </si>
  <si>
    <t>M3</t>
  </si>
  <si>
    <t>M4</t>
  </si>
  <si>
    <t>M5</t>
  </si>
  <si>
    <t>Mean</t>
  </si>
  <si>
    <t>Median</t>
  </si>
  <si>
    <t>MonthlySpend</t>
  </si>
  <si>
    <t>Range</t>
  </si>
  <si>
    <t>Variance</t>
  </si>
  <si>
    <t>SD</t>
  </si>
  <si>
    <t>C040</t>
  </si>
  <si>
    <t>C039</t>
  </si>
  <si>
    <t>C038</t>
  </si>
  <si>
    <t>C037</t>
  </si>
  <si>
    <t>C036</t>
  </si>
  <si>
    <t>C035</t>
  </si>
  <si>
    <t>C034</t>
  </si>
  <si>
    <t>C033</t>
  </si>
  <si>
    <t>C032</t>
  </si>
  <si>
    <t>C031</t>
  </si>
  <si>
    <t>C030</t>
  </si>
  <si>
    <t>C029</t>
  </si>
  <si>
    <t>C028</t>
  </si>
  <si>
    <t>C027</t>
  </si>
  <si>
    <t>C026</t>
  </si>
  <si>
    <t>C025</t>
  </si>
  <si>
    <t>C024</t>
  </si>
  <si>
    <t>C023</t>
  </si>
  <si>
    <t>C022</t>
  </si>
  <si>
    <t>C021</t>
  </si>
  <si>
    <t>C020</t>
  </si>
  <si>
    <t>C019</t>
  </si>
  <si>
    <t>C018</t>
  </si>
  <si>
    <t>Average customer spend is around ₹1250–₹1300</t>
  </si>
  <si>
    <t>Business decision</t>
  </si>
  <si>
    <t>C017</t>
  </si>
  <si>
    <t>yes but larger sample would be more reliable</t>
  </si>
  <si>
    <t>Is sampling reliable?</t>
  </si>
  <si>
    <t>C016</t>
  </si>
  <si>
    <t>14/1273 * 100 is 1.1 so it is close</t>
  </si>
  <si>
    <t>Is sample close to population?</t>
  </si>
  <si>
    <t>C015</t>
  </si>
  <si>
    <t>sample mean is 14 lower than the population mean.</t>
  </si>
  <si>
    <t>Comparison</t>
  </si>
  <si>
    <t>C014</t>
  </si>
  <si>
    <t>C013</t>
  </si>
  <si>
    <t>C012</t>
  </si>
  <si>
    <t>C011</t>
  </si>
  <si>
    <t>C010</t>
  </si>
  <si>
    <t>C009</t>
  </si>
  <si>
    <t>C008</t>
  </si>
  <si>
    <t>C007</t>
  </si>
  <si>
    <t>C006</t>
  </si>
  <si>
    <t>C005</t>
  </si>
  <si>
    <t>C004</t>
  </si>
  <si>
    <t>C003</t>
  </si>
  <si>
    <t>C002</t>
  </si>
  <si>
    <t>C001</t>
  </si>
  <si>
    <t>Customer ID</t>
  </si>
  <si>
    <t>Sample</t>
  </si>
  <si>
    <t>Population</t>
  </si>
  <si>
    <t>Column</t>
  </si>
  <si>
    <t>Type</t>
  </si>
  <si>
    <t>Categorical</t>
  </si>
  <si>
    <t>Age</t>
  </si>
  <si>
    <t>Numerical</t>
  </si>
  <si>
    <t>Gender</t>
  </si>
  <si>
    <t>City</t>
  </si>
  <si>
    <t>SatisfactionLevel</t>
  </si>
  <si>
    <t>Discrete</t>
  </si>
  <si>
    <t>Continuous</t>
  </si>
  <si>
    <t>Nominal</t>
  </si>
  <si>
    <t>-</t>
  </si>
  <si>
    <t>Ordinal</t>
  </si>
  <si>
    <t>Ratio</t>
  </si>
  <si>
    <t xml:space="preserve">Mode </t>
  </si>
  <si>
    <t xml:space="preserve"> - </t>
  </si>
  <si>
    <t>Before</t>
  </si>
  <si>
    <t>After</t>
  </si>
  <si>
    <t>Mode</t>
  </si>
  <si>
    <t>C1</t>
  </si>
  <si>
    <t>C2</t>
  </si>
  <si>
    <t>C3</t>
  </si>
  <si>
    <t>C4</t>
  </si>
  <si>
    <t>C5</t>
  </si>
  <si>
    <t>C6</t>
  </si>
  <si>
    <t>C7</t>
  </si>
  <si>
    <t>C8</t>
  </si>
  <si>
    <t>C9</t>
  </si>
  <si>
    <t>C10</t>
  </si>
  <si>
    <t>CustomerId</t>
  </si>
  <si>
    <t>Mid Value = 4250</t>
  </si>
  <si>
    <t>Q1 = 3000</t>
  </si>
  <si>
    <t>q3 = 5500</t>
  </si>
  <si>
    <t>IQR = 5500 - 3000 = 2500</t>
  </si>
  <si>
    <t>Lower bound = -750</t>
  </si>
  <si>
    <t>Upper bound = 9250</t>
  </si>
  <si>
    <t>Outlier = 15000</t>
  </si>
  <si>
    <t>p = 25(10+1)/100 = 2.75</t>
  </si>
  <si>
    <t xml:space="preserve">So 2.75th position </t>
  </si>
  <si>
    <t>Phone</t>
  </si>
  <si>
    <t>Accessories</t>
  </si>
  <si>
    <t>P(Phone)</t>
  </si>
  <si>
    <t>P(Accessories)</t>
  </si>
  <si>
    <t>P(Phone AND Accessories)</t>
  </si>
  <si>
    <t>P(Phone OR Accessories)</t>
  </si>
  <si>
    <t>P(Phone | Accessories)</t>
  </si>
  <si>
    <t>HighIncome</t>
  </si>
  <si>
    <t>Segment</t>
  </si>
  <si>
    <t>Spend</t>
  </si>
  <si>
    <t>A</t>
  </si>
  <si>
    <t>B</t>
  </si>
  <si>
    <t>C</t>
  </si>
  <si>
    <t>Population Mean</t>
  </si>
  <si>
    <t>Random Sample Mean (pick any 5 rows)</t>
  </si>
  <si>
    <t>Stratified (Segment A only)</t>
  </si>
  <si>
    <t>Systematic (every 2nd row)</t>
  </si>
  <si>
    <t>Male</t>
  </si>
  <si>
    <t>Female</t>
  </si>
  <si>
    <t>BoughtPhone</t>
  </si>
  <si>
    <t>BoughtAccessories</t>
  </si>
  <si>
    <t>P(Accessories | Phone)</t>
  </si>
  <si>
    <t>Identify High-Probability Segments</t>
  </si>
  <si>
    <t>Recommend targeting strategy</t>
  </si>
  <si>
    <t>Date</t>
  </si>
  <si>
    <t>SalesBefore</t>
  </si>
  <si>
    <t>SalesAfter</t>
  </si>
  <si>
    <t>Compute average sales before and after</t>
  </si>
  <si>
    <t>Average Before</t>
  </si>
  <si>
    <t>Average After</t>
  </si>
  <si>
    <t>Perform hypothesis test(Paired t-test)</t>
  </si>
  <si>
    <r>
      <t>1</t>
    </r>
    <r>
      <rPr>
        <sz val="11"/>
        <color theme="1"/>
        <rFont val="Calibri"/>
        <family val="2"/>
        <scheme val="minor"/>
      </rPr>
      <t xml:space="preserve"> → one-tailed test</t>
    </r>
  </si>
  <si>
    <r>
      <t>1</t>
    </r>
    <r>
      <rPr>
        <sz val="11"/>
        <color theme="1"/>
        <rFont val="Calibri"/>
        <family val="2"/>
        <scheme val="minor"/>
      </rPr>
      <t xml:space="preserve"> → paired test</t>
    </r>
  </si>
  <si>
    <t>&lt;----------</t>
  </si>
  <si>
    <t>Calculate p-value</t>
  </si>
  <si>
    <t xml:space="preserve">   Decision</t>
  </si>
  <si>
    <t>Decide whether campaign improved sales</t>
  </si>
  <si>
    <t>p-value &lt; 0.05</t>
  </si>
  <si>
    <t xml:space="preserve">   Reject H₀</t>
  </si>
  <si>
    <t xml:space="preserve">   Campaign significantly improved sales</t>
  </si>
  <si>
    <t>RevenueBefore</t>
  </si>
  <si>
    <t>RevenueAfter</t>
  </si>
  <si>
    <t>Define Hypotheses</t>
  </si>
  <si>
    <t>H₀ (Null Hypothesis):</t>
  </si>
  <si>
    <t>There is no change in revenue (Before = After)</t>
  </si>
  <si>
    <t>H₁ (Alternative Hypothesis):</t>
  </si>
  <si>
    <t>Revenue increased after campaign (After &gt; Before)</t>
  </si>
  <si>
    <t>Calculate Average Revenue</t>
  </si>
  <si>
    <t>Perform Paired t-test</t>
  </si>
  <si>
    <t>Compute p-value</t>
  </si>
  <si>
    <t>Interpret Result</t>
  </si>
  <si>
    <t>Reject H₀</t>
  </si>
  <si>
    <t>Campaign significantly increased revenue</t>
  </si>
  <si>
    <t>ProductCategory</t>
  </si>
  <si>
    <t>Electronics</t>
  </si>
  <si>
    <t>Clothing</t>
  </si>
  <si>
    <t>Groceries</t>
  </si>
  <si>
    <t>Total</t>
  </si>
  <si>
    <t>Calculate expected frequencies</t>
  </si>
  <si>
    <t>Compute χ² Statistic</t>
  </si>
  <si>
    <t>Final Decision</t>
  </si>
  <si>
    <t>p-value = 0.66 &gt; 0.05</t>
  </si>
  <si>
    <t>Fail to reject H₀</t>
  </si>
  <si>
    <t>No significant relationship</t>
  </si>
  <si>
    <t>AgeGroup</t>
  </si>
  <si>
    <t>PurchaseValue</t>
  </si>
  <si>
    <t>Young</t>
  </si>
  <si>
    <t>Middle</t>
  </si>
  <si>
    <t>Senior</t>
  </si>
  <si>
    <t>Mean Purchase Value for Each Group</t>
  </si>
  <si>
    <t>Overall Mean</t>
  </si>
  <si>
    <t>Step 1: Between-Group Variance (SSB)</t>
  </si>
  <si>
    <t>Perform One-Way ANOVA</t>
  </si>
  <si>
    <r>
      <t xml:space="preserve">= 3(210−310)² = 3(−100)² = 3×10000 = </t>
    </r>
    <r>
      <rPr>
        <b/>
        <sz val="11"/>
        <color theme="1"/>
        <rFont val="Calibri"/>
        <family val="2"/>
        <scheme val="minor"/>
      </rPr>
      <t>30000</t>
    </r>
  </si>
  <si>
    <t>= 3(310−310)² = 0</t>
  </si>
  <si>
    <r>
      <t xml:space="preserve">= 3(410−310)² = 3×10000 = </t>
    </r>
    <r>
      <rPr>
        <b/>
        <sz val="11"/>
        <color theme="1"/>
        <rFont val="Calibri"/>
        <family val="2"/>
        <scheme val="minor"/>
      </rPr>
      <t>30000</t>
    </r>
  </si>
  <si>
    <t>SSB = 60000</t>
  </si>
  <si>
    <t>Step 2: Within-Group Variance (SSW)</t>
  </si>
  <si>
    <t>(200−210)² + (220−210)² + (210−210)²</t>
  </si>
  <si>
    <t>100 + 100 + 0 = 200</t>
  </si>
  <si>
    <t>SSW = 600</t>
  </si>
  <si>
    <t>F-Statistic</t>
  </si>
  <si>
    <r>
      <t xml:space="preserve">F = 30000 / 100 = </t>
    </r>
    <r>
      <rPr>
        <b/>
        <sz val="11"/>
        <color theme="1"/>
        <rFont val="Calibri"/>
        <family val="2"/>
        <scheme val="minor"/>
      </rPr>
      <t>300</t>
    </r>
  </si>
  <si>
    <t>p-value</t>
  </si>
  <si>
    <t>Age groups differ significantly</t>
  </si>
  <si>
    <t>AdvertisingSpend</t>
  </si>
  <si>
    <t>ProductPrice</t>
  </si>
  <si>
    <t>CustomerVisits</t>
  </si>
  <si>
    <t>Compute Correlation Matrix</t>
  </si>
  <si>
    <t>Sales vs Advertising</t>
  </si>
  <si>
    <t>Sales vs Price</t>
  </si>
  <si>
    <t>Sales vs Visits</t>
  </si>
  <si>
    <t>Predict Future Sales</t>
  </si>
  <si>
    <t>For Advertising = 120</t>
  </si>
  <si>
    <t>Income</t>
  </si>
  <si>
    <t>SpendingScore</t>
  </si>
  <si>
    <t>Represent Each Customer as Vector</t>
  </si>
  <si>
    <t>Customer 1 → A = [25, 50000, 60]</t>
  </si>
  <si>
    <t>Customer 2 → B = [30, 60000, 70]</t>
  </si>
  <si>
    <t>Customer 3 → C = [35, 55000, 65]</t>
  </si>
  <si>
    <t>Compute Vector Addition (A + B)</t>
  </si>
  <si>
    <t>Calculation:</t>
  </si>
  <si>
    <t>[25+30, 50000+60000, 60+70]</t>
  </si>
  <si>
    <t>[55, 110000, 130]</t>
  </si>
  <si>
    <t>Compute L2 Norm of A</t>
  </si>
  <si>
    <t>Distance Between A and B</t>
  </si>
  <si>
    <t>Compute Dot Product (A · B)</t>
  </si>
  <si>
    <t>Compute L2 Norm of B</t>
  </si>
  <si>
    <t>Cosine Similarity</t>
  </si>
  <si>
    <t>Spending</t>
  </si>
  <si>
    <t>Represent Dataset as Matrix</t>
  </si>
  <si>
    <t>Identify Matrix Shape</t>
  </si>
  <si>
    <t>Shape = (3 × 3)</t>
  </si>
  <si>
    <t>Multiply Matrix by Scalar (2×)</t>
  </si>
  <si>
    <t xml:space="preserve">Matrix A = </t>
  </si>
  <si>
    <t>2A =</t>
  </si>
  <si>
    <t>Add Two Matrices</t>
  </si>
  <si>
    <t xml:space="preserve">A+A = </t>
  </si>
  <si>
    <t>Interpret Rows and Columns</t>
  </si>
  <si>
    <t>Row 1 → Customer 1 (Age 22, Income 30, Spending 150)</t>
  </si>
  <si>
    <t>Column 1 → Age</t>
  </si>
  <si>
    <t>Column 2 → Income</t>
  </si>
  <si>
    <t>Column 3 → Spending</t>
  </si>
  <si>
    <t>Rows → Each row represents one customer</t>
  </si>
  <si>
    <t>Columns → Each column represents a feature</t>
  </si>
  <si>
    <t xml:space="preserve">A = </t>
  </si>
  <si>
    <t>Create Transformation Matrix</t>
  </si>
  <si>
    <t xml:space="preserve">T = </t>
  </si>
  <si>
    <t>Perform Matrix Multiplication (A × T)</t>
  </si>
  <si>
    <t xml:space="preserve">A * T = </t>
  </si>
  <si>
    <t>Compute Transpose of Dataset</t>
  </si>
  <si>
    <t xml:space="preserve">A^T = </t>
  </si>
  <si>
    <t>3x+2y=16</t>
  </si>
  <si>
    <t>x+4y=14</t>
  </si>
  <si>
    <t>Convert to Matrix Form (Ax = b)</t>
  </si>
  <si>
    <t>x</t>
  </si>
  <si>
    <t>y</t>
  </si>
  <si>
    <t>=</t>
  </si>
  <si>
    <t xml:space="preserve">x = </t>
  </si>
  <si>
    <t xml:space="preserve">B = </t>
  </si>
  <si>
    <t>Compute Determinant of A</t>
  </si>
  <si>
    <t xml:space="preserve">|A| = </t>
  </si>
  <si>
    <t>Find Matrix Inverse</t>
  </si>
  <si>
    <t>Compute Solution x=A^−1b</t>
  </si>
  <si>
    <t xml:space="preserve">A^-1 = </t>
  </si>
  <si>
    <t xml:space="preserve">X = </t>
  </si>
  <si>
    <t>Mini Project - Session 1</t>
  </si>
  <si>
    <t>Mini Project - Session 2</t>
  </si>
  <si>
    <t>Mini Project - Session 4</t>
  </si>
  <si>
    <t>Mini Project - Session 3</t>
  </si>
  <si>
    <t>Mini Project - Session 5</t>
  </si>
  <si>
    <t>Mini Project - Session 6</t>
  </si>
  <si>
    <t>Mini Project - Session 7</t>
  </si>
  <si>
    <t>Mini Project - Session 10</t>
  </si>
  <si>
    <t>Mini Project - Session 12</t>
  </si>
  <si>
    <t>Mini Project - Session 13</t>
  </si>
  <si>
    <t>Mini Project - Session 14</t>
  </si>
  <si>
    <t>Mini Project - Session 15</t>
  </si>
  <si>
    <t>Mini Project - Session 16</t>
  </si>
  <si>
    <t>Mini Project - Session 17</t>
  </si>
  <si>
    <t>Mini Project - Session_1</t>
  </si>
  <si>
    <t>Mini Project - Session_2</t>
  </si>
  <si>
    <t>Mini Project - Session_3</t>
  </si>
  <si>
    <t>Mini Project - Session_4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</si>
</sst>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Arial Unicode MS"/>
    </font>
    <font>
      <b/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wrapText="1"/>
    </xf>
    <xf numFmtId="0" fontId="1" fillId="0" borderId="0" xfId="0" applyFont="1"/>
    <xf numFmtId="0" fontId="2" fillId="0" borderId="0" xfId="0" applyFont="1"/>
    <xf numFmtId="0" fontId="0" fillId="0" borderId="0" xfId="0" applyAlignment="1">
      <alignment horizontal="left" vertical="center" indent="1"/>
    </xf>
    <xf numFmtId="0" fontId="1" fillId="0" borderId="0" xfId="0" applyFont="1" applyAlignment="1">
      <alignment horizontal="left" vertical="center" indent="1"/>
    </xf>
    <xf numFmtId="0" fontId="2" fillId="0" borderId="0" xfId="0" applyFont="1" applyAlignment="1">
      <alignment vertical="center"/>
    </xf>
    <xf numFmtId="0" fontId="3" fillId="0" borderId="0" xfId="0" applyFont="1" applyAlignment="1">
      <alignment horizontal="left" vertical="center" indent="1"/>
    </xf>
    <xf numFmtId="0" fontId="1" fillId="0" borderId="0" xfId="0" applyFont="1" applyAlignment="1">
      <alignment vertical="center"/>
    </xf>
    <xf numFmtId="0" fontId="1" fillId="0" borderId="0" xfId="0" applyFont="1" applyAlignment="1">
      <alignment wrapText="1"/>
    </xf>
    <xf numFmtId="0" fontId="0" fillId="0" borderId="1" xfId="0" applyBorder="1"/>
    <xf numFmtId="0" fontId="1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1" fillId="0" borderId="1" xfId="0" applyFont="1" applyBorder="1"/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0" borderId="2" xfId="0" applyBorder="1"/>
    <xf numFmtId="0" fontId="0" fillId="0" borderId="0" xfId="0" applyBorder="1"/>
    <xf numFmtId="0" fontId="1" fillId="0" borderId="0" xfId="0" applyFont="1" applyAlignment="1"/>
    <xf numFmtId="0" fontId="0" fillId="0" borderId="0" xfId="0" applyAlignme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4AD0C5-5139-4337-9B29-CFC8ADE29867}">
  <dimension ref="A1:F53"/>
  <sheetViews>
    <sheetView topLeftCell="A25" zoomScale="80" workbookViewId="0">
      <selection activeCell="F41" sqref="F41"/>
    </sheetView>
  </sheetViews>
  <sheetFormatPr defaultRowHeight="14.5"/>
  <cols>
    <col min="6" max="6" width="35.90625" customWidth="1"/>
    <col min="7" max="7" width="52" customWidth="1"/>
  </cols>
  <sheetData>
    <row r="1" spans="1:6">
      <c r="A1" t="s">
        <v>64</v>
      </c>
      <c r="C1" t="s">
        <v>63</v>
      </c>
    </row>
    <row r="2" spans="1:6">
      <c r="A2" s="15" t="s">
        <v>62</v>
      </c>
      <c r="B2" s="15" t="s">
        <v>1</v>
      </c>
      <c r="C2" s="15" t="s">
        <v>62</v>
      </c>
      <c r="D2" s="15" t="s">
        <v>1</v>
      </c>
    </row>
    <row r="3" spans="1:6">
      <c r="A3" s="12" t="s">
        <v>61</v>
      </c>
      <c r="B3" s="12">
        <v>1200</v>
      </c>
      <c r="C3" s="12" t="s">
        <v>59</v>
      </c>
      <c r="D3" s="12">
        <v>430</v>
      </c>
    </row>
    <row r="4" spans="1:6">
      <c r="A4" s="12" t="s">
        <v>60</v>
      </c>
      <c r="B4" s="12">
        <v>850</v>
      </c>
      <c r="C4" s="12" t="s">
        <v>58</v>
      </c>
      <c r="D4" s="12">
        <v>2200</v>
      </c>
    </row>
    <row r="5" spans="1:6">
      <c r="A5" s="12" t="s">
        <v>59</v>
      </c>
      <c r="B5" s="12">
        <v>430</v>
      </c>
      <c r="C5" s="12" t="s">
        <v>57</v>
      </c>
      <c r="D5" s="12">
        <v>1750</v>
      </c>
    </row>
    <row r="6" spans="1:6">
      <c r="A6" s="12" t="s">
        <v>58</v>
      </c>
      <c r="B6" s="12">
        <v>2200</v>
      </c>
      <c r="C6" s="12" t="s">
        <v>56</v>
      </c>
      <c r="D6" s="12">
        <v>980</v>
      </c>
    </row>
    <row r="7" spans="1:6">
      <c r="A7" s="12" t="s">
        <v>57</v>
      </c>
      <c r="B7" s="12">
        <v>1750</v>
      </c>
      <c r="C7" s="12" t="s">
        <v>55</v>
      </c>
      <c r="D7" s="12">
        <v>1500</v>
      </c>
    </row>
    <row r="8" spans="1:6">
      <c r="A8" s="12" t="s">
        <v>56</v>
      </c>
      <c r="B8" s="12">
        <v>980</v>
      </c>
      <c r="C8" s="12" t="s">
        <v>54</v>
      </c>
      <c r="D8" s="12">
        <v>760</v>
      </c>
    </row>
    <row r="9" spans="1:6">
      <c r="A9" s="12" t="s">
        <v>55</v>
      </c>
      <c r="B9" s="12">
        <v>1500</v>
      </c>
      <c r="C9" s="12" t="s">
        <v>53</v>
      </c>
      <c r="D9" s="12">
        <v>1340</v>
      </c>
    </row>
    <row r="10" spans="1:6">
      <c r="A10" s="12" t="s">
        <v>54</v>
      </c>
      <c r="B10" s="12">
        <v>760</v>
      </c>
      <c r="C10" s="12" t="s">
        <v>52</v>
      </c>
      <c r="D10" s="12">
        <v>890</v>
      </c>
    </row>
    <row r="11" spans="1:6">
      <c r="A11" s="12" t="s">
        <v>53</v>
      </c>
      <c r="B11" s="12">
        <v>1340</v>
      </c>
      <c r="C11" s="12" t="s">
        <v>51</v>
      </c>
      <c r="D11" s="12">
        <v>2100</v>
      </c>
    </row>
    <row r="12" spans="1:6">
      <c r="A12" s="12" t="s">
        <v>52</v>
      </c>
      <c r="B12" s="12">
        <v>890</v>
      </c>
      <c r="C12" s="12" t="s">
        <v>50</v>
      </c>
      <c r="D12" s="19">
        <v>640</v>
      </c>
    </row>
    <row r="13" spans="1:6">
      <c r="A13" s="12" t="s">
        <v>51</v>
      </c>
      <c r="B13" s="12">
        <v>2100</v>
      </c>
      <c r="D13" s="15">
        <f>AVERAGE(D3:D12)</f>
        <v>1259</v>
      </c>
    </row>
    <row r="14" spans="1:6">
      <c r="A14" s="12" t="s">
        <v>50</v>
      </c>
      <c r="B14" s="12">
        <v>640</v>
      </c>
    </row>
    <row r="15" spans="1:6">
      <c r="A15" s="12" t="s">
        <v>49</v>
      </c>
      <c r="B15" s="12">
        <v>1120</v>
      </c>
    </row>
    <row r="16" spans="1:6">
      <c r="A16" s="12" t="s">
        <v>48</v>
      </c>
      <c r="B16" s="12">
        <v>1580</v>
      </c>
      <c r="F16" t="s">
        <v>47</v>
      </c>
    </row>
    <row r="17" spans="1:6">
      <c r="A17" s="12" t="s">
        <v>45</v>
      </c>
      <c r="B17" s="12">
        <v>720</v>
      </c>
      <c r="F17" t="s">
        <v>44</v>
      </c>
    </row>
    <row r="18" spans="1:6">
      <c r="A18" s="12" t="s">
        <v>42</v>
      </c>
      <c r="B18" s="12">
        <v>1990</v>
      </c>
      <c r="F18" t="s">
        <v>41</v>
      </c>
    </row>
    <row r="19" spans="1:6">
      <c r="A19" s="12" t="s">
        <v>39</v>
      </c>
      <c r="B19" s="12">
        <v>3050</v>
      </c>
      <c r="F19" t="s">
        <v>38</v>
      </c>
    </row>
    <row r="20" spans="1:6">
      <c r="A20" s="12" t="s">
        <v>36</v>
      </c>
      <c r="B20" s="12">
        <v>470</v>
      </c>
    </row>
    <row r="21" spans="1:6">
      <c r="A21" s="12" t="s">
        <v>35</v>
      </c>
      <c r="B21" s="12">
        <v>880</v>
      </c>
      <c r="D21" t="s">
        <v>46</v>
      </c>
    </row>
    <row r="22" spans="1:6">
      <c r="A22" s="12" t="s">
        <v>34</v>
      </c>
      <c r="B22" s="12">
        <v>1620</v>
      </c>
      <c r="D22" t="s">
        <v>43</v>
      </c>
    </row>
    <row r="23" spans="1:6">
      <c r="A23" s="12" t="s">
        <v>33</v>
      </c>
      <c r="B23" s="12">
        <v>540</v>
      </c>
      <c r="D23" t="s">
        <v>40</v>
      </c>
    </row>
    <row r="24" spans="1:6">
      <c r="A24" s="12" t="s">
        <v>32</v>
      </c>
      <c r="B24" s="12">
        <v>2450</v>
      </c>
      <c r="D24" t="s">
        <v>37</v>
      </c>
    </row>
    <row r="25" spans="1:6">
      <c r="A25" s="12" t="s">
        <v>31</v>
      </c>
      <c r="B25" s="12">
        <v>910</v>
      </c>
    </row>
    <row r="26" spans="1:6">
      <c r="A26" s="12" t="s">
        <v>30</v>
      </c>
      <c r="B26" s="12">
        <v>1330</v>
      </c>
    </row>
    <row r="27" spans="1:6">
      <c r="A27" s="12" t="s">
        <v>29</v>
      </c>
      <c r="B27" s="12">
        <v>780</v>
      </c>
    </row>
    <row r="28" spans="1:6">
      <c r="A28" s="12" t="s">
        <v>28</v>
      </c>
      <c r="B28" s="12">
        <v>1560</v>
      </c>
    </row>
    <row r="29" spans="1:6">
      <c r="A29" s="12" t="s">
        <v>27</v>
      </c>
      <c r="B29" s="12">
        <v>990</v>
      </c>
    </row>
    <row r="30" spans="1:6">
      <c r="A30" s="12" t="s">
        <v>26</v>
      </c>
      <c r="B30" s="12">
        <v>1870</v>
      </c>
    </row>
    <row r="31" spans="1:6">
      <c r="A31" s="12" t="s">
        <v>25</v>
      </c>
      <c r="B31" s="12">
        <v>610</v>
      </c>
    </row>
    <row r="32" spans="1:6">
      <c r="A32" s="12" t="s">
        <v>24</v>
      </c>
      <c r="B32" s="12">
        <v>1420</v>
      </c>
    </row>
    <row r="33" spans="1:6">
      <c r="A33" s="12" t="s">
        <v>23</v>
      </c>
      <c r="B33" s="12">
        <v>520</v>
      </c>
    </row>
    <row r="34" spans="1:6">
      <c r="A34" s="12" t="s">
        <v>22</v>
      </c>
      <c r="B34" s="12">
        <v>1760</v>
      </c>
    </row>
    <row r="35" spans="1:6">
      <c r="A35" s="12" t="s">
        <v>21</v>
      </c>
      <c r="B35" s="12">
        <v>940</v>
      </c>
    </row>
    <row r="36" spans="1:6">
      <c r="A36" s="12" t="s">
        <v>20</v>
      </c>
      <c r="B36" s="12">
        <v>2680</v>
      </c>
    </row>
    <row r="37" spans="1:6">
      <c r="A37" s="12" t="s">
        <v>19</v>
      </c>
      <c r="B37" s="12">
        <v>830</v>
      </c>
    </row>
    <row r="38" spans="1:6">
      <c r="A38" s="12" t="s">
        <v>18</v>
      </c>
      <c r="B38" s="12">
        <v>1210</v>
      </c>
    </row>
    <row r="39" spans="1:6">
      <c r="A39" s="12" t="s">
        <v>17</v>
      </c>
      <c r="B39" s="12">
        <v>690</v>
      </c>
    </row>
    <row r="40" spans="1:6">
      <c r="A40" s="12" t="s">
        <v>16</v>
      </c>
      <c r="B40" s="12">
        <v>1540</v>
      </c>
    </row>
    <row r="41" spans="1:6">
      <c r="A41" s="12" t="s">
        <v>15</v>
      </c>
      <c r="B41" s="12">
        <v>1100</v>
      </c>
    </row>
    <row r="42" spans="1:6">
      <c r="A42" s="12" t="s">
        <v>14</v>
      </c>
      <c r="B42" s="12">
        <v>2300</v>
      </c>
    </row>
    <row r="43" spans="1:6">
      <c r="A43" s="20"/>
      <c r="B43" s="15">
        <f>AVERAGE(B3:B42)</f>
        <v>1302.5</v>
      </c>
    </row>
    <row r="44" spans="1:6">
      <c r="A44" s="20"/>
      <c r="B44" s="20"/>
    </row>
    <row r="45" spans="1:6">
      <c r="A45" s="20"/>
      <c r="B45" s="20"/>
    </row>
    <row r="46" spans="1:6">
      <c r="A46" s="20"/>
      <c r="B46" s="20"/>
    </row>
    <row r="47" spans="1:6">
      <c r="A47" s="17" t="s">
        <v>250</v>
      </c>
      <c r="B47" s="17"/>
      <c r="C47" s="17"/>
      <c r="D47" s="17"/>
      <c r="E47" s="17"/>
      <c r="F47" s="17"/>
    </row>
    <row r="48" spans="1:6">
      <c r="A48" s="20"/>
      <c r="B48" s="20"/>
    </row>
    <row r="49" spans="1:2">
      <c r="A49" s="20"/>
      <c r="B49" s="20"/>
    </row>
    <row r="50" spans="1:2">
      <c r="A50" s="20"/>
      <c r="B50" s="20"/>
    </row>
    <row r="51" spans="1:2">
      <c r="A51" s="20"/>
      <c r="B51" s="20"/>
    </row>
    <row r="52" spans="1:2">
      <c r="A52" s="20"/>
      <c r="B52" s="20"/>
    </row>
    <row r="53" spans="1:2">
      <c r="A53" s="20"/>
      <c r="B53" s="20"/>
    </row>
  </sheetData>
  <mergeCells count="1">
    <mergeCell ref="A47:F47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601F06-1D22-41EE-B640-1D842841F3CE}">
  <dimension ref="A1:F47"/>
  <sheetViews>
    <sheetView topLeftCell="A34" zoomScale="78" workbookViewId="0">
      <selection activeCell="D56" sqref="D56"/>
    </sheetView>
  </sheetViews>
  <sheetFormatPr defaultRowHeight="14.5"/>
  <cols>
    <col min="1" max="1" width="18.26953125" customWidth="1"/>
    <col min="2" max="2" width="18.81640625" customWidth="1"/>
    <col min="3" max="3" width="13.1796875" customWidth="1"/>
    <col min="6" max="6" width="21.7265625" customWidth="1"/>
  </cols>
  <sheetData>
    <row r="1" spans="1:6">
      <c r="A1" s="13" t="s">
        <v>65</v>
      </c>
      <c r="B1" s="13" t="s">
        <v>66</v>
      </c>
      <c r="C1" s="15" t="s">
        <v>66</v>
      </c>
      <c r="D1" s="15" t="s">
        <v>66</v>
      </c>
      <c r="E1" s="15" t="s">
        <v>66</v>
      </c>
    </row>
    <row r="2" spans="1:6">
      <c r="A2" s="14" t="s">
        <v>0</v>
      </c>
      <c r="B2" s="14" t="s">
        <v>67</v>
      </c>
      <c r="C2" s="12" t="s">
        <v>73</v>
      </c>
      <c r="D2" s="12" t="s">
        <v>75</v>
      </c>
      <c r="E2" s="12" t="s">
        <v>75</v>
      </c>
      <c r="F2" s="3"/>
    </row>
    <row r="3" spans="1:6">
      <c r="A3" s="14" t="s">
        <v>68</v>
      </c>
      <c r="B3" s="14" t="s">
        <v>69</v>
      </c>
      <c r="C3" s="12" t="s">
        <v>74</v>
      </c>
      <c r="D3" s="12" t="s">
        <v>76</v>
      </c>
      <c r="E3" s="12" t="s">
        <v>78</v>
      </c>
      <c r="F3" s="3"/>
    </row>
    <row r="4" spans="1:6">
      <c r="A4" s="14" t="s">
        <v>70</v>
      </c>
      <c r="B4" s="14" t="s">
        <v>67</v>
      </c>
      <c r="C4" s="12" t="s">
        <v>73</v>
      </c>
      <c r="D4" s="12" t="s">
        <v>75</v>
      </c>
      <c r="E4" s="12" t="s">
        <v>75</v>
      </c>
      <c r="F4" s="3"/>
    </row>
    <row r="5" spans="1:6">
      <c r="A5" s="14" t="s">
        <v>71</v>
      </c>
      <c r="B5" s="14" t="s">
        <v>67</v>
      </c>
      <c r="C5" s="12" t="s">
        <v>73</v>
      </c>
      <c r="D5" s="12" t="s">
        <v>75</v>
      </c>
      <c r="E5" s="12" t="s">
        <v>75</v>
      </c>
      <c r="F5" s="3"/>
    </row>
    <row r="6" spans="1:6">
      <c r="A6" s="14" t="s">
        <v>72</v>
      </c>
      <c r="B6" s="14" t="s">
        <v>67</v>
      </c>
      <c r="C6" s="12" t="s">
        <v>73</v>
      </c>
      <c r="D6" s="12" t="s">
        <v>77</v>
      </c>
      <c r="E6" s="12" t="s">
        <v>77</v>
      </c>
      <c r="F6" s="3"/>
    </row>
    <row r="7" spans="1:6">
      <c r="A7" s="14" t="s">
        <v>10</v>
      </c>
      <c r="B7" s="14" t="s">
        <v>69</v>
      </c>
      <c r="C7" s="12" t="s">
        <v>74</v>
      </c>
      <c r="D7" s="12" t="s">
        <v>76</v>
      </c>
      <c r="E7" s="12" t="s">
        <v>78</v>
      </c>
      <c r="F7" s="3"/>
    </row>
    <row r="47" spans="1:6">
      <c r="A47" s="17" t="s">
        <v>251</v>
      </c>
      <c r="B47" s="18"/>
      <c r="C47" s="18"/>
      <c r="D47" s="18"/>
      <c r="E47" s="18"/>
      <c r="F47" s="18"/>
    </row>
  </sheetData>
  <mergeCells count="1">
    <mergeCell ref="A47:F47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47"/>
  <sheetViews>
    <sheetView tabSelected="1" topLeftCell="A27" zoomScale="64" workbookViewId="0">
      <selection activeCell="F38" sqref="F38"/>
    </sheetView>
  </sheetViews>
  <sheetFormatPr defaultRowHeight="14.5"/>
  <sheetData>
    <row r="1" spans="1:2">
      <c r="A1" s="15" t="s">
        <v>2</v>
      </c>
      <c r="B1" s="15" t="s">
        <v>1</v>
      </c>
    </row>
    <row r="2" spans="1:2">
      <c r="A2" s="12" t="s">
        <v>3</v>
      </c>
      <c r="B2" s="12">
        <v>10000</v>
      </c>
    </row>
    <row r="3" spans="1:2">
      <c r="A3" s="12" t="s">
        <v>4</v>
      </c>
      <c r="B3" s="12">
        <v>12000</v>
      </c>
    </row>
    <row r="4" spans="1:2">
      <c r="A4" s="12" t="s">
        <v>5</v>
      </c>
      <c r="B4" s="12">
        <v>13000</v>
      </c>
    </row>
    <row r="5" spans="1:2">
      <c r="A5" s="12" t="s">
        <v>6</v>
      </c>
      <c r="B5" s="12">
        <v>15000</v>
      </c>
    </row>
    <row r="6" spans="1:2">
      <c r="A6" s="12" t="s">
        <v>7</v>
      </c>
      <c r="B6" s="12">
        <v>100000</v>
      </c>
    </row>
    <row r="8" spans="1:2">
      <c r="A8" t="s">
        <v>81</v>
      </c>
    </row>
    <row r="9" spans="1:2">
      <c r="A9" t="s">
        <v>8</v>
      </c>
      <c r="B9">
        <f>AVERAGE(B2:B5)</f>
        <v>12500</v>
      </c>
    </row>
    <row r="10" spans="1:2">
      <c r="A10" t="s">
        <v>9</v>
      </c>
      <c r="B10">
        <f>MEDIAN(B2:B5)</f>
        <v>12500</v>
      </c>
    </row>
    <row r="11" spans="1:2">
      <c r="A11" t="s">
        <v>83</v>
      </c>
      <c r="B11" t="s">
        <v>80</v>
      </c>
    </row>
    <row r="13" spans="1:2">
      <c r="A13" t="s">
        <v>82</v>
      </c>
    </row>
    <row r="14" spans="1:2">
      <c r="A14" t="s">
        <v>8</v>
      </c>
      <c r="B14">
        <f>AVERAGE(B2:B6)</f>
        <v>30000</v>
      </c>
    </row>
    <row r="15" spans="1:2">
      <c r="A15" t="s">
        <v>9</v>
      </c>
      <c r="B15">
        <f xml:space="preserve"> MEDIAN(B2:B6)</f>
        <v>13000</v>
      </c>
    </row>
    <row r="16" spans="1:2">
      <c r="A16" t="s">
        <v>79</v>
      </c>
      <c r="B16" t="s">
        <v>80</v>
      </c>
    </row>
    <row r="47" spans="1:10">
      <c r="A47" s="17" t="s">
        <v>253</v>
      </c>
      <c r="B47" s="18"/>
      <c r="C47" s="18"/>
      <c r="D47" s="18"/>
      <c r="E47" s="18"/>
      <c r="F47" s="18"/>
      <c r="G47" s="18"/>
      <c r="H47" s="18"/>
      <c r="I47" s="18"/>
      <c r="J47" s="18"/>
    </row>
  </sheetData>
  <mergeCells count="1">
    <mergeCell ref="A47:J47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47"/>
  <sheetViews>
    <sheetView topLeftCell="A33" workbookViewId="0">
      <selection activeCell="A47" sqref="A47:I47"/>
    </sheetView>
  </sheetViews>
  <sheetFormatPr defaultRowHeight="14.5"/>
  <cols>
    <col min="1" max="1" width="11.08984375" customWidth="1"/>
    <col min="2" max="2" width="13.1796875" bestFit="1" customWidth="1"/>
  </cols>
  <sheetData>
    <row r="1" spans="1:3">
      <c r="A1" s="15" t="s">
        <v>0</v>
      </c>
      <c r="B1" s="15" t="s">
        <v>10</v>
      </c>
    </row>
    <row r="2" spans="1:3">
      <c r="A2" s="12">
        <v>1</v>
      </c>
      <c r="B2" s="12">
        <v>200</v>
      </c>
    </row>
    <row r="3" spans="1:3">
      <c r="A3" s="12">
        <v>2</v>
      </c>
      <c r="B3" s="12">
        <v>300</v>
      </c>
    </row>
    <row r="4" spans="1:3">
      <c r="A4" s="12">
        <v>3</v>
      </c>
      <c r="B4" s="12">
        <v>400</v>
      </c>
    </row>
    <row r="5" spans="1:3">
      <c r="A5" s="12">
        <v>4</v>
      </c>
      <c r="B5" s="12">
        <v>800</v>
      </c>
    </row>
    <row r="7" spans="1:3">
      <c r="A7" t="s">
        <v>11</v>
      </c>
      <c r="B7">
        <f>B5-B2</f>
        <v>600</v>
      </c>
    </row>
    <row r="8" spans="1:3">
      <c r="A8" t="s">
        <v>12</v>
      </c>
      <c r="B8">
        <f>_xlfn.VAR.P(B2:B5)</f>
        <v>51875</v>
      </c>
    </row>
    <row r="9" spans="1:3">
      <c r="A9" t="s">
        <v>13</v>
      </c>
      <c r="B9">
        <f>SQRT(B8)</f>
        <v>227.76083947860747</v>
      </c>
      <c r="C9">
        <f>_xlfn.STDEV.P(B2:B5)</f>
        <v>227.76083947860747</v>
      </c>
    </row>
    <row r="44" spans="1:10">
      <c r="J44" s="4"/>
    </row>
    <row r="47" spans="1:10">
      <c r="A47" s="17" t="s">
        <v>252</v>
      </c>
      <c r="B47" s="17"/>
      <c r="C47" s="17"/>
      <c r="D47" s="17"/>
      <c r="E47" s="17"/>
      <c r="F47" s="17"/>
      <c r="G47" s="17"/>
      <c r="H47" s="17"/>
      <c r="I47" s="17"/>
    </row>
  </sheetData>
  <mergeCells count="1">
    <mergeCell ref="A47:I47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6EF166-FA26-4349-9C72-594E0E971E73}">
  <dimension ref="A1:H47"/>
  <sheetViews>
    <sheetView topLeftCell="A38" workbookViewId="0">
      <selection activeCell="A47" sqref="A47:H47"/>
    </sheetView>
  </sheetViews>
  <sheetFormatPr defaultRowHeight="14.5"/>
  <cols>
    <col min="1" max="1" width="10.6328125" bestFit="1" customWidth="1"/>
    <col min="2" max="2" width="13.1796875" bestFit="1" customWidth="1"/>
    <col min="6" max="6" width="21.36328125" customWidth="1"/>
  </cols>
  <sheetData>
    <row r="1" spans="1:4">
      <c r="A1" s="15" t="s">
        <v>94</v>
      </c>
      <c r="B1" s="15" t="s">
        <v>10</v>
      </c>
    </row>
    <row r="2" spans="1:4">
      <c r="A2" s="12" t="s">
        <v>84</v>
      </c>
      <c r="B2" s="12">
        <v>2000</v>
      </c>
    </row>
    <row r="3" spans="1:4">
      <c r="A3" s="12" t="s">
        <v>85</v>
      </c>
      <c r="B3" s="12">
        <v>2500</v>
      </c>
    </row>
    <row r="4" spans="1:4">
      <c r="A4" s="12" t="s">
        <v>86</v>
      </c>
      <c r="B4" s="12">
        <v>3000</v>
      </c>
      <c r="D4" t="s">
        <v>95</v>
      </c>
    </row>
    <row r="5" spans="1:4">
      <c r="A5" s="12" t="s">
        <v>87</v>
      </c>
      <c r="B5" s="12">
        <v>3500</v>
      </c>
      <c r="D5" t="s">
        <v>96</v>
      </c>
    </row>
    <row r="6" spans="1:4">
      <c r="A6" s="12" t="s">
        <v>88</v>
      </c>
      <c r="B6" s="12">
        <v>4000</v>
      </c>
      <c r="D6" t="s">
        <v>97</v>
      </c>
    </row>
    <row r="7" spans="1:4">
      <c r="A7" s="12" t="s">
        <v>89</v>
      </c>
      <c r="B7" s="12">
        <v>4500</v>
      </c>
      <c r="D7" t="s">
        <v>98</v>
      </c>
    </row>
    <row r="8" spans="1:4">
      <c r="A8" s="12" t="s">
        <v>90</v>
      </c>
      <c r="B8" s="12">
        <v>5000</v>
      </c>
      <c r="D8" t="s">
        <v>99</v>
      </c>
    </row>
    <row r="9" spans="1:4">
      <c r="A9" s="12" t="s">
        <v>91</v>
      </c>
      <c r="B9" s="12">
        <v>5500</v>
      </c>
      <c r="D9" t="s">
        <v>100</v>
      </c>
    </row>
    <row r="10" spans="1:4">
      <c r="A10" s="12" t="s">
        <v>92</v>
      </c>
      <c r="B10" s="12">
        <v>6000</v>
      </c>
      <c r="D10" t="s">
        <v>101</v>
      </c>
    </row>
    <row r="11" spans="1:4">
      <c r="A11" s="12" t="s">
        <v>93</v>
      </c>
      <c r="B11" s="12">
        <v>15000</v>
      </c>
      <c r="D11" t="s">
        <v>102</v>
      </c>
    </row>
    <row r="12" spans="1:4">
      <c r="D12" t="s">
        <v>103</v>
      </c>
    </row>
    <row r="47" spans="1:8">
      <c r="A47" s="17" t="s">
        <v>254</v>
      </c>
      <c r="B47" s="17"/>
      <c r="C47" s="17"/>
      <c r="D47" s="17"/>
      <c r="E47" s="17"/>
      <c r="F47" s="17"/>
      <c r="G47" s="17"/>
      <c r="H47" s="17"/>
    </row>
  </sheetData>
  <mergeCells count="1">
    <mergeCell ref="A47:H47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378DB-74B5-4076-A25D-EE218A4E27DA}">
  <dimension ref="A1:L47"/>
  <sheetViews>
    <sheetView topLeftCell="A40" zoomScale="76" workbookViewId="0">
      <selection activeCell="A47" sqref="A47:I47"/>
    </sheetView>
  </sheetViews>
  <sheetFormatPr defaultRowHeight="14.5"/>
  <cols>
    <col min="1" max="1" width="11.453125" customWidth="1"/>
    <col min="3" max="3" width="10.36328125" bestFit="1" customWidth="1"/>
  </cols>
  <sheetData>
    <row r="1" spans="1:3">
      <c r="A1" s="15" t="s">
        <v>0</v>
      </c>
      <c r="B1" s="15" t="s">
        <v>104</v>
      </c>
      <c r="C1" s="15" t="s">
        <v>105</v>
      </c>
    </row>
    <row r="2" spans="1:3">
      <c r="A2" s="12">
        <v>1</v>
      </c>
      <c r="B2" s="12">
        <v>1</v>
      </c>
      <c r="C2" s="12">
        <v>0</v>
      </c>
    </row>
    <row r="3" spans="1:3">
      <c r="A3" s="12">
        <v>2</v>
      </c>
      <c r="B3" s="12">
        <v>1</v>
      </c>
      <c r="C3" s="12">
        <v>1</v>
      </c>
    </row>
    <row r="4" spans="1:3">
      <c r="A4" s="12">
        <v>3</v>
      </c>
      <c r="B4" s="12">
        <v>0</v>
      </c>
      <c r="C4" s="12">
        <v>1</v>
      </c>
    </row>
    <row r="5" spans="1:3">
      <c r="A5" s="12">
        <v>4</v>
      </c>
      <c r="B5" s="12">
        <v>1</v>
      </c>
      <c r="C5" s="12">
        <v>1</v>
      </c>
    </row>
    <row r="6" spans="1:3">
      <c r="A6" s="12">
        <v>5</v>
      </c>
      <c r="B6" s="12">
        <v>0</v>
      </c>
      <c r="C6" s="12">
        <v>0</v>
      </c>
    </row>
    <row r="7" spans="1:3">
      <c r="A7" s="12">
        <v>6</v>
      </c>
      <c r="B7" s="12">
        <v>1</v>
      </c>
      <c r="C7" s="12">
        <v>0</v>
      </c>
    </row>
    <row r="8" spans="1:3">
      <c r="A8" s="12">
        <v>7</v>
      </c>
      <c r="B8" s="12">
        <v>0</v>
      </c>
      <c r="C8" s="12">
        <v>1</v>
      </c>
    </row>
    <row r="9" spans="1:3">
      <c r="A9" s="12">
        <v>8</v>
      </c>
      <c r="B9" s="12">
        <v>1</v>
      </c>
      <c r="C9" s="12">
        <v>1</v>
      </c>
    </row>
    <row r="10" spans="1:3">
      <c r="A10" s="12">
        <v>9</v>
      </c>
      <c r="B10" s="12">
        <v>0</v>
      </c>
      <c r="C10" s="12">
        <v>0</v>
      </c>
    </row>
    <row r="11" spans="1:3">
      <c r="A11" s="12">
        <v>10</v>
      </c>
      <c r="B11" s="12">
        <v>1</v>
      </c>
      <c r="C11" s="12">
        <v>1</v>
      </c>
    </row>
    <row r="13" spans="1:3">
      <c r="A13" s="4" t="s">
        <v>106</v>
      </c>
    </row>
    <row r="14" spans="1:3">
      <c r="A14" s="5">
        <f>AVERAGE(B2:B11)</f>
        <v>0.6</v>
      </c>
    </row>
    <row r="15" spans="1:3">
      <c r="A15" s="4" t="s">
        <v>107</v>
      </c>
    </row>
    <row r="16" spans="1:3">
      <c r="A16" s="5">
        <f>AVERAGE(C2:C11)</f>
        <v>0.6</v>
      </c>
    </row>
    <row r="17" spans="1:1">
      <c r="A17" s="4" t="s">
        <v>108</v>
      </c>
    </row>
    <row r="18" spans="1:1">
      <c r="A18" s="5">
        <f>COUNTIFS(B2:B11,1,C2:C11,1)/10</f>
        <v>0.4</v>
      </c>
    </row>
    <row r="19" spans="1:1">
      <c r="A19" s="4" t="s">
        <v>109</v>
      </c>
    </row>
    <row r="20" spans="1:1">
      <c r="A20" s="5">
        <f>A14+A16-A18</f>
        <v>0.79999999999999993</v>
      </c>
    </row>
    <row r="21" spans="1:1">
      <c r="A21" s="4" t="s">
        <v>110</v>
      </c>
    </row>
    <row r="22" spans="1:1">
      <c r="A22" s="5">
        <f>A18/A16</f>
        <v>0.66666666666666674</v>
      </c>
    </row>
    <row r="47" spans="1:12">
      <c r="A47" s="17" t="s">
        <v>255</v>
      </c>
      <c r="B47" s="17"/>
      <c r="C47" s="17"/>
      <c r="D47" s="17"/>
      <c r="E47" s="17"/>
      <c r="F47" s="17"/>
      <c r="G47" s="17"/>
      <c r="H47" s="17"/>
      <c r="I47" s="17"/>
      <c r="J47" s="22"/>
      <c r="K47" s="22"/>
      <c r="L47" s="22"/>
    </row>
  </sheetData>
  <mergeCells count="1">
    <mergeCell ref="A47:I47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119B32-7034-4D41-BEF8-53E3A6D0CE50}">
  <dimension ref="A1:H47"/>
  <sheetViews>
    <sheetView topLeftCell="A44" zoomScale="87" workbookViewId="0">
      <selection activeCell="A47" sqref="A47:H47"/>
    </sheetView>
  </sheetViews>
  <sheetFormatPr defaultRowHeight="14.5"/>
  <cols>
    <col min="1" max="1" width="12.90625" customWidth="1"/>
    <col min="2" max="2" width="12.1796875" bestFit="1" customWidth="1"/>
    <col min="3" max="3" width="16.81640625" bestFit="1" customWidth="1"/>
    <col min="4" max="4" width="10.7265625" bestFit="1" customWidth="1"/>
  </cols>
  <sheetData>
    <row r="1" spans="1:4">
      <c r="A1" s="15" t="s">
        <v>0</v>
      </c>
      <c r="B1" s="15" t="s">
        <v>123</v>
      </c>
      <c r="C1" s="15" t="s">
        <v>124</v>
      </c>
      <c r="D1" s="15" t="s">
        <v>111</v>
      </c>
    </row>
    <row r="2" spans="1:4">
      <c r="A2" s="12">
        <v>1</v>
      </c>
      <c r="B2" s="12">
        <v>1</v>
      </c>
      <c r="C2" s="12">
        <v>1</v>
      </c>
      <c r="D2" s="12">
        <v>1</v>
      </c>
    </row>
    <row r="3" spans="1:4">
      <c r="A3" s="12">
        <v>2</v>
      </c>
      <c r="B3" s="12">
        <v>1</v>
      </c>
      <c r="C3" s="12">
        <v>0</v>
      </c>
      <c r="D3" s="12">
        <v>0</v>
      </c>
    </row>
    <row r="4" spans="1:4">
      <c r="A4" s="12">
        <v>3</v>
      </c>
      <c r="B4" s="12">
        <v>0</v>
      </c>
      <c r="C4" s="12">
        <v>1</v>
      </c>
      <c r="D4" s="12">
        <v>1</v>
      </c>
    </row>
    <row r="5" spans="1:4">
      <c r="A5" s="12">
        <v>4</v>
      </c>
      <c r="B5" s="12">
        <v>1</v>
      </c>
      <c r="C5" s="12">
        <v>1</v>
      </c>
      <c r="D5" s="12">
        <v>0</v>
      </c>
    </row>
    <row r="6" spans="1:4">
      <c r="A6" s="12">
        <v>5</v>
      </c>
      <c r="B6" s="12">
        <v>0</v>
      </c>
      <c r="C6" s="12">
        <v>0</v>
      </c>
      <c r="D6" s="12">
        <v>0</v>
      </c>
    </row>
    <row r="7" spans="1:4">
      <c r="A7" s="12">
        <v>6</v>
      </c>
      <c r="B7" s="12">
        <v>1</v>
      </c>
      <c r="C7" s="12">
        <v>1</v>
      </c>
      <c r="D7" s="12">
        <v>1</v>
      </c>
    </row>
    <row r="8" spans="1:4">
      <c r="A8" s="12">
        <v>7</v>
      </c>
      <c r="B8" s="12">
        <v>0</v>
      </c>
      <c r="C8" s="12">
        <v>1</v>
      </c>
      <c r="D8" s="12">
        <v>0</v>
      </c>
    </row>
    <row r="9" spans="1:4">
      <c r="A9" s="12">
        <v>8</v>
      </c>
      <c r="B9" s="12">
        <v>1</v>
      </c>
      <c r="C9" s="12">
        <v>0</v>
      </c>
      <c r="D9" s="12">
        <v>1</v>
      </c>
    </row>
    <row r="10" spans="1:4">
      <c r="A10" s="12">
        <v>9</v>
      </c>
      <c r="B10" s="12">
        <v>0</v>
      </c>
      <c r="C10" s="12">
        <v>0</v>
      </c>
      <c r="D10" s="12">
        <v>0</v>
      </c>
    </row>
    <row r="11" spans="1:4">
      <c r="A11" s="12">
        <v>10</v>
      </c>
      <c r="B11" s="12">
        <v>1</v>
      </c>
      <c r="C11" s="12">
        <v>1</v>
      </c>
      <c r="D11" s="12">
        <v>1</v>
      </c>
    </row>
    <row r="13" spans="1:4">
      <c r="A13" s="7" t="s">
        <v>106</v>
      </c>
    </row>
    <row r="14" spans="1:4">
      <c r="A14" s="8">
        <f>AVERAGE(B2:B11)</f>
        <v>0.6</v>
      </c>
    </row>
    <row r="15" spans="1:4">
      <c r="A15" s="7" t="s">
        <v>107</v>
      </c>
    </row>
    <row r="16" spans="1:4">
      <c r="A16" s="8">
        <f>AVERAGE(C2:C11)</f>
        <v>0.6</v>
      </c>
    </row>
    <row r="17" spans="1:1">
      <c r="A17" s="7" t="s">
        <v>108</v>
      </c>
    </row>
    <row r="18" spans="1:1">
      <c r="A18" s="8">
        <f>COUNTIFS(B2:B11,1,C2:C11,1)/10</f>
        <v>0.4</v>
      </c>
    </row>
    <row r="19" spans="1:1">
      <c r="A19" s="7" t="s">
        <v>110</v>
      </c>
    </row>
    <row r="20" spans="1:1">
      <c r="A20" s="8">
        <f>COUNTIFS(B2:B11,1,C2:C11,1)/COUNTIF(C2:C11,1)</f>
        <v>0.66666666666666663</v>
      </c>
    </row>
    <row r="21" spans="1:1">
      <c r="A21" s="7" t="s">
        <v>125</v>
      </c>
    </row>
    <row r="22" spans="1:1">
      <c r="A22" s="8">
        <f>COUNTIFS(B2:B11,1,C2:C11,1)/COUNTIF(B2:B11,1)</f>
        <v>0.66666666666666663</v>
      </c>
    </row>
    <row r="23" spans="1:1">
      <c r="A23">
        <f>(A22*A16)/A14</f>
        <v>0.66666666666666663</v>
      </c>
    </row>
    <row r="24" spans="1:1">
      <c r="A24" s="4" t="s">
        <v>126</v>
      </c>
    </row>
    <row r="25" spans="1:1">
      <c r="A25">
        <f>COUNTIFS(B2:B11,1,D2:D11,1)</f>
        <v>4</v>
      </c>
    </row>
    <row r="26" spans="1:1">
      <c r="A26" s="7" t="s">
        <v>127</v>
      </c>
    </row>
    <row r="27" spans="1:1">
      <c r="A27">
        <f>A25/COUNT(A2:A11)</f>
        <v>0.4</v>
      </c>
    </row>
    <row r="47" spans="1:8">
      <c r="A47" s="17" t="s">
        <v>256</v>
      </c>
      <c r="B47" s="17"/>
      <c r="C47" s="17"/>
      <c r="D47" s="17"/>
      <c r="E47" s="17"/>
      <c r="F47" s="17"/>
      <c r="G47" s="17"/>
      <c r="H47" s="17"/>
    </row>
  </sheetData>
  <mergeCells count="1">
    <mergeCell ref="A47:H47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59766D-B889-4CF2-91ED-ABF8BCF329E3}">
  <dimension ref="A1:J47"/>
  <sheetViews>
    <sheetView topLeftCell="A33" zoomScale="59" workbookViewId="0">
      <selection activeCell="A47" sqref="A47:J47"/>
    </sheetView>
  </sheetViews>
  <sheetFormatPr defaultRowHeight="14.5"/>
  <cols>
    <col min="1" max="1" width="12.453125" customWidth="1"/>
    <col min="2" max="2" width="8.54296875" bestFit="1" customWidth="1"/>
    <col min="3" max="3" width="6.26953125" bestFit="1" customWidth="1"/>
  </cols>
  <sheetData>
    <row r="1" spans="1:3">
      <c r="A1" s="15" t="s">
        <v>0</v>
      </c>
      <c r="B1" s="15" t="s">
        <v>112</v>
      </c>
      <c r="C1" s="15" t="s">
        <v>113</v>
      </c>
    </row>
    <row r="2" spans="1:3">
      <c r="A2" s="12">
        <v>1</v>
      </c>
      <c r="B2" s="12" t="s">
        <v>114</v>
      </c>
      <c r="C2" s="12">
        <v>500</v>
      </c>
    </row>
    <row r="3" spans="1:3">
      <c r="A3" s="12">
        <v>2</v>
      </c>
      <c r="B3" s="12" t="s">
        <v>115</v>
      </c>
      <c r="C3" s="12">
        <v>600</v>
      </c>
    </row>
    <row r="4" spans="1:3">
      <c r="A4" s="12">
        <v>3</v>
      </c>
      <c r="B4" s="12" t="s">
        <v>114</v>
      </c>
      <c r="C4" s="12">
        <v>550</v>
      </c>
    </row>
    <row r="5" spans="1:3">
      <c r="A5" s="12">
        <v>4</v>
      </c>
      <c r="B5" s="12" t="s">
        <v>116</v>
      </c>
      <c r="C5" s="12">
        <v>700</v>
      </c>
    </row>
    <row r="6" spans="1:3">
      <c r="A6" s="12">
        <v>5</v>
      </c>
      <c r="B6" s="12" t="s">
        <v>115</v>
      </c>
      <c r="C6" s="12">
        <v>650</v>
      </c>
    </row>
    <row r="7" spans="1:3">
      <c r="A7" s="12">
        <v>6</v>
      </c>
      <c r="B7" s="12" t="s">
        <v>114</v>
      </c>
      <c r="C7" s="12">
        <v>520</v>
      </c>
    </row>
    <row r="8" spans="1:3">
      <c r="A8" s="12">
        <v>7</v>
      </c>
      <c r="B8" s="12" t="s">
        <v>116</v>
      </c>
      <c r="C8" s="12">
        <v>720</v>
      </c>
    </row>
    <row r="9" spans="1:3">
      <c r="A9" s="12">
        <v>8</v>
      </c>
      <c r="B9" s="12" t="s">
        <v>115</v>
      </c>
      <c r="C9" s="12">
        <v>680</v>
      </c>
    </row>
    <row r="10" spans="1:3">
      <c r="A10" s="12">
        <v>9</v>
      </c>
      <c r="B10" s="12" t="s">
        <v>114</v>
      </c>
      <c r="C10" s="12">
        <v>510</v>
      </c>
    </row>
    <row r="11" spans="1:3">
      <c r="A11" s="12">
        <v>10</v>
      </c>
      <c r="B11" s="12" t="s">
        <v>116</v>
      </c>
      <c r="C11" s="12">
        <v>750</v>
      </c>
    </row>
    <row r="13" spans="1:3">
      <c r="A13" s="4" t="s">
        <v>117</v>
      </c>
    </row>
    <row r="14" spans="1:3">
      <c r="A14" s="5">
        <f>AVERAGE(C2:C11)</f>
        <v>618</v>
      </c>
    </row>
    <row r="15" spans="1:3">
      <c r="A15" s="4" t="s">
        <v>118</v>
      </c>
    </row>
    <row r="16" spans="1:3">
      <c r="A16" s="5">
        <f>AVERAGE(C2:C6)</f>
        <v>600</v>
      </c>
    </row>
    <row r="17" spans="1:1">
      <c r="A17" s="4" t="s">
        <v>119</v>
      </c>
    </row>
    <row r="18" spans="1:1">
      <c r="A18" s="5">
        <f>AVERAGEIF(B2:B11,"A",C2:C11)</f>
        <v>520</v>
      </c>
    </row>
    <row r="19" spans="1:1">
      <c r="A19" s="4" t="s">
        <v>120</v>
      </c>
    </row>
    <row r="20" spans="1:1">
      <c r="A20" s="5">
        <f>AVERAGE(C2,C4,C6,C8,C10)</f>
        <v>586</v>
      </c>
    </row>
    <row r="47" spans="1:10">
      <c r="A47" s="17" t="s">
        <v>257</v>
      </c>
      <c r="B47" s="17"/>
      <c r="C47" s="17"/>
      <c r="D47" s="17"/>
      <c r="E47" s="17"/>
      <c r="F47" s="17"/>
      <c r="G47" s="17"/>
      <c r="H47" s="17"/>
      <c r="I47" s="17"/>
      <c r="J47" s="17"/>
    </row>
  </sheetData>
  <mergeCells count="1">
    <mergeCell ref="A47:J47"/>
  </mergeCells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C4D093-ADD6-4CAB-A6B5-EA4B455FE4D7}">
  <dimension ref="A1:I47"/>
  <sheetViews>
    <sheetView topLeftCell="A29" zoomScale="59" workbookViewId="0">
      <selection activeCell="A47" sqref="A47:I47"/>
    </sheetView>
  </sheetViews>
  <sheetFormatPr defaultRowHeight="14.5"/>
  <cols>
    <col min="1" max="1" width="10.81640625" customWidth="1"/>
    <col min="2" max="2" width="10.90625" bestFit="1" customWidth="1"/>
    <col min="3" max="3" width="10.54296875" customWidth="1"/>
  </cols>
  <sheetData>
    <row r="1" spans="1:3">
      <c r="A1" s="15" t="s">
        <v>128</v>
      </c>
      <c r="B1" s="15" t="s">
        <v>129</v>
      </c>
      <c r="C1" s="15" t="s">
        <v>130</v>
      </c>
    </row>
    <row r="2" spans="1:3">
      <c r="A2" s="12">
        <v>1</v>
      </c>
      <c r="B2" s="12">
        <v>100</v>
      </c>
      <c r="C2" s="12">
        <v>120</v>
      </c>
    </row>
    <row r="3" spans="1:3">
      <c r="A3" s="12">
        <v>2</v>
      </c>
      <c r="B3" s="12">
        <v>110</v>
      </c>
      <c r="C3" s="12">
        <v>130</v>
      </c>
    </row>
    <row r="4" spans="1:3">
      <c r="A4" s="12">
        <v>3</v>
      </c>
      <c r="B4" s="12">
        <v>105</v>
      </c>
      <c r="C4" s="12">
        <v>125</v>
      </c>
    </row>
    <row r="5" spans="1:3">
      <c r="A5" s="12">
        <v>4</v>
      </c>
      <c r="B5" s="12">
        <v>115</v>
      </c>
      <c r="C5" s="12">
        <v>140</v>
      </c>
    </row>
    <row r="6" spans="1:3">
      <c r="A6" s="12">
        <v>5</v>
      </c>
      <c r="B6" s="12">
        <v>120</v>
      </c>
      <c r="C6" s="12">
        <v>150</v>
      </c>
    </row>
    <row r="7" spans="1:3">
      <c r="A7" s="12">
        <v>6</v>
      </c>
      <c r="B7" s="12">
        <v>130</v>
      </c>
      <c r="C7" s="12">
        <v>160</v>
      </c>
    </row>
    <row r="8" spans="1:3">
      <c r="A8" s="12">
        <v>7</v>
      </c>
      <c r="B8" s="12">
        <v>125</v>
      </c>
      <c r="C8" s="12">
        <v>155</v>
      </c>
    </row>
    <row r="9" spans="1:3">
      <c r="A9" s="12">
        <v>8</v>
      </c>
      <c r="B9" s="12">
        <v>135</v>
      </c>
      <c r="C9" s="12">
        <v>165</v>
      </c>
    </row>
    <row r="10" spans="1:3">
      <c r="A10" s="12">
        <v>9</v>
      </c>
      <c r="B10" s="12">
        <v>140</v>
      </c>
      <c r="C10" s="12">
        <v>170</v>
      </c>
    </row>
    <row r="11" spans="1:3">
      <c r="A11" s="12">
        <v>10</v>
      </c>
      <c r="B11" s="12">
        <v>150</v>
      </c>
      <c r="C11" s="12">
        <v>180</v>
      </c>
    </row>
    <row r="13" spans="1:3">
      <c r="A13" s="9" t="s">
        <v>131</v>
      </c>
    </row>
    <row r="14" spans="1:3">
      <c r="A14" s="7" t="s">
        <v>132</v>
      </c>
    </row>
    <row r="15" spans="1:3">
      <c r="A15" s="8">
        <f>AVERAGE(B2:B11)</f>
        <v>123</v>
      </c>
    </row>
    <row r="16" spans="1:3">
      <c r="A16" s="7" t="s">
        <v>133</v>
      </c>
    </row>
    <row r="17" spans="1:3">
      <c r="A17" s="8">
        <f>AVERAGE(C2:C11)</f>
        <v>149.5</v>
      </c>
    </row>
    <row r="19" spans="1:3">
      <c r="A19" s="9" t="s">
        <v>134</v>
      </c>
      <c r="C19" s="5" t="s">
        <v>135</v>
      </c>
    </row>
    <row r="20" spans="1:3">
      <c r="A20" s="8">
        <f>_xlfn.T.TEST(B2:B11, C2:C11, 1, 1)</f>
        <v>1.351862240039649E-8</v>
      </c>
      <c r="B20" t="s">
        <v>137</v>
      </c>
      <c r="C20" s="5" t="s">
        <v>136</v>
      </c>
    </row>
    <row r="22" spans="1:3">
      <c r="A22" s="9" t="s">
        <v>138</v>
      </c>
    </row>
    <row r="23" spans="1:3">
      <c r="A23">
        <f>_xlfn.T.TEST(B2:B11, C2:C11, 1, 1)</f>
        <v>1.351862240039649E-8</v>
      </c>
    </row>
    <row r="25" spans="1:3">
      <c r="A25" s="9" t="s">
        <v>140</v>
      </c>
    </row>
    <row r="26" spans="1:3">
      <c r="A26" s="4" t="s">
        <v>139</v>
      </c>
    </row>
    <row r="27" spans="1:3">
      <c r="A27" s="6" t="s">
        <v>141</v>
      </c>
    </row>
    <row r="28" spans="1:3">
      <c r="A28" t="s">
        <v>142</v>
      </c>
    </row>
    <row r="29" spans="1:3">
      <c r="A29" t="s">
        <v>143</v>
      </c>
    </row>
    <row r="47" spans="1:9">
      <c r="A47" s="17" t="s">
        <v>258</v>
      </c>
      <c r="B47" s="17"/>
      <c r="C47" s="17"/>
      <c r="D47" s="17"/>
      <c r="E47" s="17"/>
      <c r="F47" s="17"/>
      <c r="G47" s="17"/>
      <c r="H47" s="17"/>
      <c r="I47" s="17"/>
    </row>
  </sheetData>
  <mergeCells count="1">
    <mergeCell ref="A47:I47"/>
  </mergeCells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444ABE-1B1F-4413-92EC-29CAFF058333}">
  <dimension ref="A1:J47"/>
  <sheetViews>
    <sheetView topLeftCell="A26" zoomScale="59" workbookViewId="0">
      <selection activeCell="A47" sqref="A47:H47"/>
    </sheetView>
  </sheetViews>
  <sheetFormatPr defaultRowHeight="14.5"/>
  <cols>
    <col min="1" max="1" width="11.453125" customWidth="1"/>
    <col min="2" max="2" width="14.26953125" customWidth="1"/>
    <col min="3" max="3" width="12.90625" bestFit="1" customWidth="1"/>
  </cols>
  <sheetData>
    <row r="1" spans="1:3">
      <c r="A1" s="15" t="s">
        <v>0</v>
      </c>
      <c r="B1" s="15" t="s">
        <v>144</v>
      </c>
      <c r="C1" s="15" t="s">
        <v>145</v>
      </c>
    </row>
    <row r="2" spans="1:3">
      <c r="A2" s="12">
        <v>1</v>
      </c>
      <c r="B2" s="12">
        <v>200</v>
      </c>
      <c r="C2" s="12">
        <v>240</v>
      </c>
    </row>
    <row r="3" spans="1:3">
      <c r="A3" s="12">
        <v>2</v>
      </c>
      <c r="B3" s="12">
        <v>220</v>
      </c>
      <c r="C3" s="12">
        <v>260</v>
      </c>
    </row>
    <row r="4" spans="1:3">
      <c r="A4" s="12">
        <v>3</v>
      </c>
      <c r="B4" s="12">
        <v>210</v>
      </c>
      <c r="C4" s="12">
        <v>250</v>
      </c>
    </row>
    <row r="5" spans="1:3">
      <c r="A5" s="12">
        <v>4</v>
      </c>
      <c r="B5" s="12">
        <v>230</v>
      </c>
      <c r="C5" s="12">
        <v>280</v>
      </c>
    </row>
    <row r="6" spans="1:3">
      <c r="A6" s="12">
        <v>5</v>
      </c>
      <c r="B6" s="12">
        <v>240</v>
      </c>
      <c r="C6" s="12">
        <v>300</v>
      </c>
    </row>
    <row r="7" spans="1:3">
      <c r="A7" s="12">
        <v>6</v>
      </c>
      <c r="B7" s="12">
        <v>250</v>
      </c>
      <c r="C7" s="12">
        <v>310</v>
      </c>
    </row>
    <row r="8" spans="1:3">
      <c r="A8" s="12">
        <v>7</v>
      </c>
      <c r="B8" s="12">
        <v>245</v>
      </c>
      <c r="C8" s="12">
        <v>305</v>
      </c>
    </row>
    <row r="9" spans="1:3">
      <c r="A9" s="12">
        <v>8</v>
      </c>
      <c r="B9" s="12">
        <v>260</v>
      </c>
      <c r="C9" s="12">
        <v>320</v>
      </c>
    </row>
    <row r="10" spans="1:3">
      <c r="A10" s="12">
        <v>9</v>
      </c>
      <c r="B10" s="12">
        <v>270</v>
      </c>
      <c r="C10" s="12">
        <v>330</v>
      </c>
    </row>
    <row r="11" spans="1:3">
      <c r="A11" s="12">
        <v>10</v>
      </c>
      <c r="B11" s="12">
        <v>280</v>
      </c>
      <c r="C11" s="12">
        <v>350</v>
      </c>
    </row>
    <row r="13" spans="1:3">
      <c r="A13" s="10" t="s">
        <v>146</v>
      </c>
    </row>
    <row r="14" spans="1:3">
      <c r="A14" s="7" t="s">
        <v>147</v>
      </c>
    </row>
    <row r="15" spans="1:3">
      <c r="A15" s="6" t="s">
        <v>148</v>
      </c>
    </row>
    <row r="16" spans="1:3">
      <c r="A16" s="7" t="s">
        <v>149</v>
      </c>
    </row>
    <row r="17" spans="1:1">
      <c r="A17" s="6" t="s">
        <v>150</v>
      </c>
    </row>
    <row r="19" spans="1:1">
      <c r="A19" s="4" t="s">
        <v>151</v>
      </c>
    </row>
    <row r="20" spans="1:1">
      <c r="A20" s="7" t="s">
        <v>132</v>
      </c>
    </row>
    <row r="21" spans="1:1">
      <c r="A21" s="8">
        <f>AVERAGE(B2:B11)</f>
        <v>240.5</v>
      </c>
    </row>
    <row r="22" spans="1:1">
      <c r="A22" s="7" t="s">
        <v>133</v>
      </c>
    </row>
    <row r="23" spans="1:1">
      <c r="A23" s="8">
        <f>AVERAGE(C2:C11)</f>
        <v>294.5</v>
      </c>
    </row>
    <row r="25" spans="1:1">
      <c r="A25" s="4" t="s">
        <v>152</v>
      </c>
    </row>
    <row r="26" spans="1:1">
      <c r="A26" s="8">
        <f>_xlfn.T.TEST(B2:B11, C2:C11, 1, 1)</f>
        <v>3.4243577383290832E-8</v>
      </c>
    </row>
    <row r="28" spans="1:1">
      <c r="A28" s="4" t="s">
        <v>153</v>
      </c>
    </row>
    <row r="29" spans="1:1">
      <c r="A29" s="8">
        <f>_xlfn.T.TEST(B2:B11, C2:C11, 1, 1)</f>
        <v>3.4243577383290832E-8</v>
      </c>
    </row>
    <row r="31" spans="1:1">
      <c r="A31" s="4" t="s">
        <v>154</v>
      </c>
    </row>
    <row r="32" spans="1:1">
      <c r="A32" t="s">
        <v>141</v>
      </c>
    </row>
    <row r="33" spans="1:10">
      <c r="A33" t="s">
        <v>155</v>
      </c>
    </row>
    <row r="34" spans="1:10">
      <c r="A34" t="s">
        <v>156</v>
      </c>
    </row>
    <row r="47" spans="1:10">
      <c r="A47" s="17" t="s">
        <v>259</v>
      </c>
      <c r="B47" s="17"/>
      <c r="C47" s="17"/>
      <c r="D47" s="17"/>
      <c r="E47" s="17"/>
      <c r="F47" s="17"/>
      <c r="G47" s="17"/>
      <c r="H47" s="17"/>
      <c r="I47" s="4"/>
      <c r="J47" s="4"/>
    </row>
  </sheetData>
  <mergeCells count="1">
    <mergeCell ref="A47:H47"/>
  </mergeCells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928605-EBB9-4308-AA96-A183C6DA5C30}">
  <dimension ref="A1:J45"/>
  <sheetViews>
    <sheetView topLeftCell="A22" zoomScale="52" workbookViewId="0">
      <selection activeCell="A45" sqref="A45:G45"/>
    </sheetView>
  </sheetViews>
  <sheetFormatPr defaultRowHeight="14.5"/>
  <cols>
    <col min="1" max="1" width="14.81640625" customWidth="1"/>
    <col min="2" max="2" width="14.6328125" customWidth="1"/>
    <col min="3" max="3" width="19.6328125" bestFit="1" customWidth="1"/>
    <col min="4" max="4" width="11.36328125" customWidth="1"/>
  </cols>
  <sheetData>
    <row r="1" spans="1:3">
      <c r="A1" s="15" t="s">
        <v>0</v>
      </c>
      <c r="B1" s="15" t="s">
        <v>70</v>
      </c>
      <c r="C1" s="15" t="s">
        <v>157</v>
      </c>
    </row>
    <row r="2" spans="1:3">
      <c r="A2" s="12">
        <v>1</v>
      </c>
      <c r="B2" s="12" t="s">
        <v>121</v>
      </c>
      <c r="C2" s="12" t="s">
        <v>158</v>
      </c>
    </row>
    <row r="3" spans="1:3">
      <c r="A3" s="12">
        <v>2</v>
      </c>
      <c r="B3" s="12" t="s">
        <v>122</v>
      </c>
      <c r="C3" s="12" t="s">
        <v>159</v>
      </c>
    </row>
    <row r="4" spans="1:3">
      <c r="A4" s="12">
        <v>3</v>
      </c>
      <c r="B4" s="12" t="s">
        <v>121</v>
      </c>
      <c r="C4" s="12" t="s">
        <v>158</v>
      </c>
    </row>
    <row r="5" spans="1:3">
      <c r="A5" s="12">
        <v>4</v>
      </c>
      <c r="B5" s="12" t="s">
        <v>122</v>
      </c>
      <c r="C5" s="12" t="s">
        <v>159</v>
      </c>
    </row>
    <row r="6" spans="1:3">
      <c r="A6" s="12">
        <v>5</v>
      </c>
      <c r="B6" s="12" t="s">
        <v>121</v>
      </c>
      <c r="C6" s="12" t="s">
        <v>160</v>
      </c>
    </row>
    <row r="7" spans="1:3">
      <c r="A7" s="12">
        <v>6</v>
      </c>
      <c r="B7" s="12" t="s">
        <v>122</v>
      </c>
      <c r="C7" s="12" t="s">
        <v>158</v>
      </c>
    </row>
    <row r="8" spans="1:3">
      <c r="A8" s="12">
        <v>7</v>
      </c>
      <c r="B8" s="12" t="s">
        <v>121</v>
      </c>
      <c r="C8" s="12" t="s">
        <v>159</v>
      </c>
    </row>
    <row r="9" spans="1:3">
      <c r="A9" s="12">
        <v>8</v>
      </c>
      <c r="B9" s="12" t="s">
        <v>122</v>
      </c>
      <c r="C9" s="12" t="s">
        <v>160</v>
      </c>
    </row>
    <row r="10" spans="1:3">
      <c r="A10" s="12">
        <v>9</v>
      </c>
      <c r="B10" s="12" t="s">
        <v>121</v>
      </c>
      <c r="C10" s="12" t="s">
        <v>158</v>
      </c>
    </row>
    <row r="11" spans="1:3">
      <c r="A11" s="12">
        <v>10</v>
      </c>
      <c r="B11" s="12" t="s">
        <v>122</v>
      </c>
      <c r="C11" s="12" t="s">
        <v>159</v>
      </c>
    </row>
    <row r="12" spans="1:3">
      <c r="A12" s="12">
        <v>11</v>
      </c>
      <c r="B12" s="12" t="s">
        <v>121</v>
      </c>
      <c r="C12" s="12" t="s">
        <v>160</v>
      </c>
    </row>
    <row r="13" spans="1:3">
      <c r="A13" s="12">
        <v>12</v>
      </c>
      <c r="B13" s="12" t="s">
        <v>122</v>
      </c>
      <c r="C13" s="12" t="s">
        <v>158</v>
      </c>
    </row>
    <row r="14" spans="1:3">
      <c r="A14" s="12">
        <v>13</v>
      </c>
      <c r="B14" s="12" t="s">
        <v>121</v>
      </c>
      <c r="C14" s="12" t="s">
        <v>159</v>
      </c>
    </row>
    <row r="15" spans="1:3">
      <c r="A15" s="12">
        <v>14</v>
      </c>
      <c r="B15" s="12" t="s">
        <v>122</v>
      </c>
      <c r="C15" s="12" t="s">
        <v>160</v>
      </c>
    </row>
    <row r="16" spans="1:3">
      <c r="A16" s="12">
        <v>15</v>
      </c>
      <c r="B16" s="12" t="s">
        <v>121</v>
      </c>
      <c r="C16" s="12" t="s">
        <v>158</v>
      </c>
    </row>
    <row r="18" spans="1:5" ht="29">
      <c r="A18" s="1" t="s">
        <v>70</v>
      </c>
      <c r="B18" s="1" t="s">
        <v>158</v>
      </c>
      <c r="C18" s="1" t="s">
        <v>159</v>
      </c>
      <c r="D18" s="1" t="s">
        <v>160</v>
      </c>
      <c r="E18" s="1" t="s">
        <v>161</v>
      </c>
    </row>
    <row r="19" spans="1:5">
      <c r="A19" s="2" t="s">
        <v>121</v>
      </c>
      <c r="B19" s="2">
        <v>4</v>
      </c>
      <c r="C19" s="2">
        <v>2</v>
      </c>
      <c r="D19" s="2">
        <v>2</v>
      </c>
      <c r="E19" s="2">
        <v>8</v>
      </c>
    </row>
    <row r="20" spans="1:5">
      <c r="A20" s="2" t="s">
        <v>122</v>
      </c>
      <c r="B20" s="2">
        <v>2</v>
      </c>
      <c r="C20" s="2">
        <v>3</v>
      </c>
      <c r="D20" s="2">
        <v>2</v>
      </c>
      <c r="E20" s="2">
        <v>7</v>
      </c>
    </row>
    <row r="21" spans="1:5">
      <c r="A21" s="2" t="s">
        <v>161</v>
      </c>
      <c r="B21" s="2">
        <v>6</v>
      </c>
      <c r="C21" s="2">
        <v>5</v>
      </c>
      <c r="D21" s="2">
        <v>4</v>
      </c>
      <c r="E21" s="2">
        <v>15</v>
      </c>
    </row>
    <row r="23" spans="1:5">
      <c r="A23" s="9" t="s">
        <v>162</v>
      </c>
    </row>
    <row r="24" spans="1:5">
      <c r="A24">
        <f>(E19*B21)/15</f>
        <v>3.2</v>
      </c>
    </row>
    <row r="25" spans="1:5" ht="29">
      <c r="A25" s="1" t="s">
        <v>70</v>
      </c>
      <c r="B25" s="1" t="s">
        <v>158</v>
      </c>
      <c r="C25" s="1" t="s">
        <v>159</v>
      </c>
      <c r="D25" s="1" t="s">
        <v>160</v>
      </c>
    </row>
    <row r="26" spans="1:5">
      <c r="A26" s="2" t="s">
        <v>121</v>
      </c>
      <c r="B26" s="2">
        <v>3.2</v>
      </c>
      <c r="C26" s="2">
        <v>2.67</v>
      </c>
      <c r="D26" s="2">
        <v>2.13</v>
      </c>
    </row>
    <row r="27" spans="1:5">
      <c r="A27" s="2" t="s">
        <v>122</v>
      </c>
      <c r="B27" s="2">
        <v>2.8</v>
      </c>
      <c r="C27" s="2">
        <v>2.33</v>
      </c>
      <c r="D27" s="2">
        <v>1.87</v>
      </c>
    </row>
    <row r="29" spans="1:5">
      <c r="A29" s="4" t="s">
        <v>163</v>
      </c>
    </row>
    <row r="30" spans="1:5">
      <c r="A30">
        <v>0.81</v>
      </c>
    </row>
    <row r="32" spans="1:5">
      <c r="A32" s="4" t="s">
        <v>153</v>
      </c>
    </row>
    <row r="33" spans="1:10">
      <c r="A33">
        <f>_xlfn.CHISQ.DIST.RT(0.81,2)</f>
        <v>0.66697681085847438</v>
      </c>
    </row>
    <row r="35" spans="1:10">
      <c r="A35" s="4" t="s">
        <v>164</v>
      </c>
    </row>
    <row r="36" spans="1:10">
      <c r="A36" t="s">
        <v>165</v>
      </c>
    </row>
    <row r="37" spans="1:10">
      <c r="A37" t="s">
        <v>166</v>
      </c>
    </row>
    <row r="38" spans="1:10">
      <c r="A38" t="s">
        <v>167</v>
      </c>
    </row>
    <row r="45" spans="1:10">
      <c r="A45" s="17" t="s">
        <v>260</v>
      </c>
      <c r="B45" s="17"/>
      <c r="C45" s="17"/>
      <c r="D45" s="17"/>
      <c r="E45" s="17"/>
      <c r="F45" s="17"/>
      <c r="G45" s="17"/>
      <c r="H45" s="4"/>
      <c r="I45" s="4"/>
      <c r="J45" s="4"/>
    </row>
  </sheetData>
  <mergeCells count="1">
    <mergeCell ref="A45:G45"/>
  </mergeCells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207113-658C-48BF-A6C8-D2DE5231A817}">
  <dimension ref="A1:J47"/>
  <sheetViews>
    <sheetView topLeftCell="A21" zoomScale="57" workbookViewId="0">
      <selection activeCell="A47" sqref="A47:I47"/>
    </sheetView>
  </sheetViews>
  <sheetFormatPr defaultRowHeight="14.5"/>
  <cols>
    <col min="1" max="1" width="11.54296875" customWidth="1"/>
    <col min="2" max="2" width="9.81640625" bestFit="1" customWidth="1"/>
    <col min="3" max="3" width="13.81640625" bestFit="1" customWidth="1"/>
  </cols>
  <sheetData>
    <row r="1" spans="1:7">
      <c r="A1" s="15" t="s">
        <v>0</v>
      </c>
      <c r="B1" s="15" t="s">
        <v>168</v>
      </c>
      <c r="C1" s="15" t="s">
        <v>169</v>
      </c>
    </row>
    <row r="2" spans="1:7">
      <c r="A2" s="12">
        <v>1</v>
      </c>
      <c r="B2" s="12" t="s">
        <v>170</v>
      </c>
      <c r="C2" s="12">
        <v>200</v>
      </c>
    </row>
    <row r="3" spans="1:7">
      <c r="A3" s="12">
        <v>2</v>
      </c>
      <c r="B3" s="12" t="s">
        <v>170</v>
      </c>
      <c r="C3" s="12">
        <v>220</v>
      </c>
    </row>
    <row r="4" spans="1:7">
      <c r="A4" s="12">
        <v>3</v>
      </c>
      <c r="B4" s="12" t="s">
        <v>170</v>
      </c>
      <c r="C4" s="12">
        <v>210</v>
      </c>
    </row>
    <row r="5" spans="1:7">
      <c r="A5" s="12">
        <v>4</v>
      </c>
      <c r="B5" s="12" t="s">
        <v>171</v>
      </c>
      <c r="C5" s="12">
        <v>300</v>
      </c>
    </row>
    <row r="6" spans="1:7">
      <c r="A6" s="12">
        <v>5</v>
      </c>
      <c r="B6" s="12" t="s">
        <v>171</v>
      </c>
      <c r="C6" s="12">
        <v>320</v>
      </c>
    </row>
    <row r="7" spans="1:7">
      <c r="A7" s="12">
        <v>6</v>
      </c>
      <c r="B7" s="12" t="s">
        <v>171</v>
      </c>
      <c r="C7" s="12">
        <v>310</v>
      </c>
    </row>
    <row r="8" spans="1:7">
      <c r="A8" s="12">
        <v>7</v>
      </c>
      <c r="B8" s="12" t="s">
        <v>172</v>
      </c>
      <c r="C8" s="12">
        <v>400</v>
      </c>
    </row>
    <row r="9" spans="1:7">
      <c r="A9" s="12">
        <v>8</v>
      </c>
      <c r="B9" s="12" t="s">
        <v>172</v>
      </c>
      <c r="C9" s="12">
        <v>420</v>
      </c>
    </row>
    <row r="10" spans="1:7">
      <c r="A10" s="12">
        <v>9</v>
      </c>
      <c r="B10" s="12" t="s">
        <v>172</v>
      </c>
      <c r="C10" s="12">
        <v>410</v>
      </c>
    </row>
    <row r="12" spans="1:7">
      <c r="A12" s="4" t="s">
        <v>173</v>
      </c>
    </row>
    <row r="13" spans="1:7">
      <c r="A13" s="7" t="s">
        <v>170</v>
      </c>
      <c r="C13" s="7" t="s">
        <v>171</v>
      </c>
      <c r="E13" s="7" t="s">
        <v>172</v>
      </c>
      <c r="G13" s="4" t="s">
        <v>174</v>
      </c>
    </row>
    <row r="14" spans="1:7">
      <c r="A14" s="8">
        <f>AVERAGE(C2:C4)</f>
        <v>210</v>
      </c>
      <c r="C14" s="8">
        <f>AVERAGE(C5:C7)</f>
        <v>310</v>
      </c>
      <c r="E14" s="8">
        <f>AVERAGE(C8:C10)</f>
        <v>410</v>
      </c>
      <c r="G14">
        <f>AVERAGE(C2:C10)</f>
        <v>310</v>
      </c>
    </row>
    <row r="16" spans="1:7">
      <c r="A16" s="4" t="s">
        <v>176</v>
      </c>
    </row>
    <row r="17" spans="1:1">
      <c r="A17" s="4" t="s">
        <v>175</v>
      </c>
    </row>
    <row r="18" spans="1:1">
      <c r="A18" s="7" t="s">
        <v>170</v>
      </c>
    </row>
    <row r="19" spans="1:1">
      <c r="A19" s="6" t="s">
        <v>177</v>
      </c>
    </row>
    <row r="20" spans="1:1">
      <c r="A20" s="7" t="s">
        <v>171</v>
      </c>
    </row>
    <row r="21" spans="1:1">
      <c r="A21" s="6" t="s">
        <v>178</v>
      </c>
    </row>
    <row r="22" spans="1:1">
      <c r="A22" s="7" t="s">
        <v>172</v>
      </c>
    </row>
    <row r="23" spans="1:1">
      <c r="A23" s="6" t="s">
        <v>179</v>
      </c>
    </row>
    <row r="24" spans="1:1">
      <c r="A24" s="4" t="s">
        <v>180</v>
      </c>
    </row>
    <row r="26" spans="1:1">
      <c r="A26" s="4" t="s">
        <v>181</v>
      </c>
    </row>
    <row r="27" spans="1:1">
      <c r="A27" s="4" t="s">
        <v>170</v>
      </c>
    </row>
    <row r="28" spans="1:1">
      <c r="A28" t="s">
        <v>182</v>
      </c>
    </row>
    <row r="29" spans="1:1">
      <c r="A29" t="s">
        <v>183</v>
      </c>
    </row>
    <row r="30" spans="1:1">
      <c r="A30" s="4" t="s">
        <v>171</v>
      </c>
    </row>
    <row r="31" spans="1:1">
      <c r="A31" t="s">
        <v>183</v>
      </c>
    </row>
    <row r="32" spans="1:1">
      <c r="A32" s="4" t="s">
        <v>172</v>
      </c>
    </row>
    <row r="33" spans="1:10">
      <c r="A33" t="s">
        <v>183</v>
      </c>
    </row>
    <row r="34" spans="1:10">
      <c r="A34" t="s">
        <v>184</v>
      </c>
    </row>
    <row r="36" spans="1:10">
      <c r="A36" s="4" t="s">
        <v>185</v>
      </c>
    </row>
    <row r="37" spans="1:10">
      <c r="A37" t="s">
        <v>186</v>
      </c>
    </row>
    <row r="39" spans="1:10">
      <c r="A39" s="4" t="s">
        <v>187</v>
      </c>
    </row>
    <row r="40" spans="1:10">
      <c r="A40">
        <f>_xlfn.F.DIST.RT(300,2,6)</f>
        <v>9.7059014792764297E-7</v>
      </c>
    </row>
    <row r="42" spans="1:10">
      <c r="A42" s="4" t="s">
        <v>164</v>
      </c>
    </row>
    <row r="43" spans="1:10">
      <c r="A43" t="s">
        <v>141</v>
      </c>
    </row>
    <row r="44" spans="1:10">
      <c r="A44" t="s">
        <v>155</v>
      </c>
    </row>
    <row r="45" spans="1:10">
      <c r="A45" t="s">
        <v>188</v>
      </c>
    </row>
    <row r="47" spans="1:10">
      <c r="A47" s="17" t="s">
        <v>261</v>
      </c>
      <c r="B47" s="17"/>
      <c r="C47" s="17"/>
      <c r="D47" s="17"/>
      <c r="E47" s="17"/>
      <c r="F47" s="17"/>
      <c r="G47" s="17"/>
      <c r="H47" s="17"/>
      <c r="I47" s="17"/>
      <c r="J47" s="4"/>
    </row>
  </sheetData>
  <mergeCells count="1">
    <mergeCell ref="A47:I47"/>
  </mergeCells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3AD131-6F44-4C79-B29D-73B33D709EE6}">
  <dimension ref="A1:J47"/>
  <sheetViews>
    <sheetView topLeftCell="A29" zoomScale="50" workbookViewId="0">
      <selection activeCell="A47" sqref="A47:F47"/>
    </sheetView>
  </sheetViews>
  <sheetFormatPr defaultRowHeight="14.5"/>
  <cols>
    <col min="2" max="2" width="22.08984375" bestFit="1" customWidth="1"/>
    <col min="3" max="3" width="16.26953125" bestFit="1" customWidth="1"/>
    <col min="4" max="4" width="18.6328125" bestFit="1" customWidth="1"/>
  </cols>
  <sheetData>
    <row r="1" spans="1:4">
      <c r="A1" s="15" t="s">
        <v>1</v>
      </c>
      <c r="B1" s="15" t="s">
        <v>189</v>
      </c>
      <c r="C1" s="15" t="s">
        <v>190</v>
      </c>
      <c r="D1" s="15" t="s">
        <v>191</v>
      </c>
    </row>
    <row r="2" spans="1:4">
      <c r="A2" s="12">
        <v>200</v>
      </c>
      <c r="B2" s="12">
        <v>50</v>
      </c>
      <c r="C2" s="12">
        <v>20</v>
      </c>
      <c r="D2" s="12">
        <v>300</v>
      </c>
    </row>
    <row r="3" spans="1:4">
      <c r="A3" s="12">
        <v>250</v>
      </c>
      <c r="B3" s="12">
        <v>60</v>
      </c>
      <c r="C3" s="12">
        <v>22</v>
      </c>
      <c r="D3" s="12">
        <v>320</v>
      </c>
    </row>
    <row r="4" spans="1:4">
      <c r="A4" s="12">
        <v>300</v>
      </c>
      <c r="B4" s="12">
        <v>70</v>
      </c>
      <c r="C4" s="12">
        <v>25</v>
      </c>
      <c r="D4" s="12">
        <v>350</v>
      </c>
    </row>
    <row r="5" spans="1:4">
      <c r="A5" s="12">
        <v>350</v>
      </c>
      <c r="B5" s="12">
        <v>80</v>
      </c>
      <c r="C5" s="12">
        <v>27</v>
      </c>
      <c r="D5" s="12">
        <v>370</v>
      </c>
    </row>
    <row r="6" spans="1:4">
      <c r="A6" s="12">
        <v>400</v>
      </c>
      <c r="B6" s="12">
        <v>90</v>
      </c>
      <c r="C6" s="12">
        <v>30</v>
      </c>
      <c r="D6" s="12">
        <v>400</v>
      </c>
    </row>
    <row r="7" spans="1:4">
      <c r="A7" s="12">
        <v>450</v>
      </c>
      <c r="B7" s="12">
        <v>100</v>
      </c>
      <c r="C7" s="12">
        <v>32</v>
      </c>
      <c r="D7" s="12">
        <v>420</v>
      </c>
    </row>
    <row r="8" spans="1:4">
      <c r="A8" s="12">
        <v>500</v>
      </c>
      <c r="B8" s="12">
        <v>110</v>
      </c>
      <c r="C8" s="12">
        <v>35</v>
      </c>
      <c r="D8" s="12">
        <v>450</v>
      </c>
    </row>
    <row r="9" spans="1:4">
      <c r="A9" s="12">
        <v>550</v>
      </c>
      <c r="B9" s="12">
        <v>120</v>
      </c>
      <c r="C9" s="12">
        <v>37</v>
      </c>
      <c r="D9" s="12">
        <v>470</v>
      </c>
    </row>
    <row r="10" spans="1:4">
      <c r="A10" s="12">
        <v>600</v>
      </c>
      <c r="B10" s="12">
        <v>130</v>
      </c>
      <c r="C10" s="12">
        <v>40</v>
      </c>
      <c r="D10" s="12">
        <v>500</v>
      </c>
    </row>
    <row r="11" spans="1:4">
      <c r="A11" s="12">
        <v>650</v>
      </c>
      <c r="B11" s="12">
        <v>140</v>
      </c>
      <c r="C11" s="12">
        <v>42</v>
      </c>
      <c r="D11" s="12">
        <v>520</v>
      </c>
    </row>
    <row r="13" spans="1:4">
      <c r="A13" s="4" t="s">
        <v>192</v>
      </c>
    </row>
    <row r="14" spans="1:4">
      <c r="A14" s="4" t="s">
        <v>193</v>
      </c>
    </row>
    <row r="15" spans="1:4">
      <c r="A15">
        <f>CORREL(A2:A11,B2:B11)</f>
        <v>1</v>
      </c>
    </row>
    <row r="16" spans="1:4">
      <c r="A16" s="4" t="s">
        <v>194</v>
      </c>
    </row>
    <row r="17" spans="1:1">
      <c r="A17">
        <f>CORREL(A2:A11,C2:C11)</f>
        <v>0.9994056463070784</v>
      </c>
    </row>
    <row r="18" spans="1:1">
      <c r="A18" s="4" t="s">
        <v>195</v>
      </c>
    </row>
    <row r="19" spans="1:1">
      <c r="A19">
        <f>CORREL(A2:A11,D2:D11)</f>
        <v>0.99940564630707851</v>
      </c>
    </row>
    <row r="47" spans="1:10">
      <c r="A47" s="17" t="s">
        <v>262</v>
      </c>
      <c r="B47" s="17"/>
      <c r="C47" s="17"/>
      <c r="D47" s="17"/>
      <c r="E47" s="17"/>
      <c r="F47" s="17"/>
      <c r="G47" s="4"/>
      <c r="H47" s="4"/>
      <c r="I47" s="4"/>
      <c r="J47" s="4"/>
    </row>
  </sheetData>
  <mergeCells count="1">
    <mergeCell ref="A47:F47"/>
  </mergeCells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FF6380-CCF9-423F-B48B-61B3A02C62F1}">
  <dimension ref="A1:I47"/>
  <sheetViews>
    <sheetView topLeftCell="A33" zoomScale="88" workbookViewId="0">
      <selection activeCell="A47" sqref="A47:I47"/>
    </sheetView>
  </sheetViews>
  <sheetFormatPr defaultRowHeight="14.5"/>
  <cols>
    <col min="1" max="1" width="16.81640625" customWidth="1"/>
  </cols>
  <sheetData>
    <row r="1" spans="1:2">
      <c r="A1" s="15" t="s">
        <v>189</v>
      </c>
      <c r="B1" s="15" t="s">
        <v>1</v>
      </c>
    </row>
    <row r="2" spans="1:2">
      <c r="A2" s="12">
        <v>10</v>
      </c>
      <c r="B2" s="12">
        <v>100</v>
      </c>
    </row>
    <row r="3" spans="1:2">
      <c r="A3" s="12">
        <v>20</v>
      </c>
      <c r="B3" s="12">
        <v>150</v>
      </c>
    </row>
    <row r="4" spans="1:2">
      <c r="A4" s="12">
        <v>30</v>
      </c>
      <c r="B4" s="12">
        <v>200</v>
      </c>
    </row>
    <row r="5" spans="1:2">
      <c r="A5" s="12">
        <v>40</v>
      </c>
      <c r="B5" s="12">
        <v>250</v>
      </c>
    </row>
    <row r="6" spans="1:2">
      <c r="A6" s="12">
        <v>50</v>
      </c>
      <c r="B6" s="12">
        <v>300</v>
      </c>
    </row>
    <row r="7" spans="1:2">
      <c r="A7" s="12">
        <v>60</v>
      </c>
      <c r="B7" s="12">
        <v>350</v>
      </c>
    </row>
    <row r="8" spans="1:2">
      <c r="A8" s="12">
        <v>70</v>
      </c>
      <c r="B8" s="12">
        <v>400</v>
      </c>
    </row>
    <row r="9" spans="1:2">
      <c r="A9" s="12">
        <v>80</v>
      </c>
      <c r="B9" s="12">
        <v>450</v>
      </c>
    </row>
    <row r="10" spans="1:2">
      <c r="A10" s="12">
        <v>90</v>
      </c>
      <c r="B10" s="12">
        <v>500</v>
      </c>
    </row>
    <row r="11" spans="1:2">
      <c r="A11" s="12">
        <v>100</v>
      </c>
      <c r="B11" s="12">
        <v>550</v>
      </c>
    </row>
    <row r="13" spans="1:2">
      <c r="A13" s="4" t="s">
        <v>196</v>
      </c>
    </row>
    <row r="14" spans="1:2">
      <c r="A14" t="s">
        <v>197</v>
      </c>
    </row>
    <row r="15" spans="1:2">
      <c r="A15">
        <f>5*120+50</f>
        <v>650</v>
      </c>
    </row>
    <row r="47" spans="1:9">
      <c r="A47" s="17" t="s">
        <v>263</v>
      </c>
      <c r="B47" s="17"/>
      <c r="C47" s="17"/>
      <c r="D47" s="17"/>
      <c r="E47" s="17"/>
      <c r="F47" s="17"/>
      <c r="G47" s="17"/>
      <c r="H47" s="17"/>
      <c r="I47" s="17"/>
    </row>
  </sheetData>
  <mergeCells count="1">
    <mergeCell ref="A47:I47"/>
  </mergeCells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DDB565-87EE-4E3F-B31F-C70A1FE40B12}">
  <dimension ref="A1:J47"/>
  <sheetViews>
    <sheetView topLeftCell="A34" workbookViewId="0">
      <selection activeCell="A47" sqref="A47:I47"/>
    </sheetView>
  </sheetViews>
  <sheetFormatPr defaultRowHeight="14.5"/>
  <cols>
    <col min="1" max="1" width="10.81640625" bestFit="1" customWidth="1"/>
    <col min="4" max="4" width="13.08984375" bestFit="1" customWidth="1"/>
  </cols>
  <sheetData>
    <row r="1" spans="1:4">
      <c r="A1" s="15" t="s">
        <v>0</v>
      </c>
      <c r="B1" s="15" t="s">
        <v>68</v>
      </c>
      <c r="C1" s="15" t="s">
        <v>198</v>
      </c>
      <c r="D1" s="15" t="s">
        <v>199</v>
      </c>
    </row>
    <row r="2" spans="1:4">
      <c r="A2" s="12">
        <v>1</v>
      </c>
      <c r="B2" s="12">
        <v>25</v>
      </c>
      <c r="C2" s="12">
        <v>50000</v>
      </c>
      <c r="D2" s="12">
        <v>60</v>
      </c>
    </row>
    <row r="3" spans="1:4">
      <c r="A3" s="12">
        <v>2</v>
      </c>
      <c r="B3" s="12">
        <v>30</v>
      </c>
      <c r="C3" s="12">
        <v>60000</v>
      </c>
      <c r="D3" s="12">
        <v>70</v>
      </c>
    </row>
    <row r="4" spans="1:4">
      <c r="A4" s="12">
        <v>3</v>
      </c>
      <c r="B4" s="12">
        <v>35</v>
      </c>
      <c r="C4" s="12">
        <v>55000</v>
      </c>
      <c r="D4" s="12">
        <v>65</v>
      </c>
    </row>
    <row r="6" spans="1:4">
      <c r="A6" s="4" t="s">
        <v>200</v>
      </c>
    </row>
    <row r="7" spans="1:4">
      <c r="A7" t="s">
        <v>201</v>
      </c>
    </row>
    <row r="8" spans="1:4">
      <c r="A8" t="s">
        <v>202</v>
      </c>
    </row>
    <row r="9" spans="1:4">
      <c r="A9" t="s">
        <v>203</v>
      </c>
    </row>
    <row r="11" spans="1:4">
      <c r="A11" s="4" t="s">
        <v>204</v>
      </c>
    </row>
    <row r="12" spans="1:4">
      <c r="A12" t="s">
        <v>205</v>
      </c>
    </row>
    <row r="13" spans="1:4">
      <c r="A13" t="s">
        <v>206</v>
      </c>
    </row>
    <row r="14" spans="1:4">
      <c r="A14" t="s">
        <v>207</v>
      </c>
    </row>
    <row r="16" spans="1:4">
      <c r="A16" s="4" t="s">
        <v>210</v>
      </c>
    </row>
    <row r="17" spans="1:1">
      <c r="A17">
        <f>(B2*B3)+(C2*C3)+(D2*D3)</f>
        <v>3000004950</v>
      </c>
    </row>
    <row r="19" spans="1:1">
      <c r="A19" s="4" t="s">
        <v>208</v>
      </c>
    </row>
    <row r="20" spans="1:1">
      <c r="A20">
        <f>SQRT(B2^2 + C2^2 + D2^2)</f>
        <v>50000.042249982151</v>
      </c>
    </row>
    <row r="22" spans="1:1">
      <c r="A22" s="4" t="s">
        <v>209</v>
      </c>
    </row>
    <row r="23" spans="1:1">
      <c r="A23">
        <f>SQRT((B3-B2)^2 + (C3-C2)^2 + (D3-D2)^2)</f>
        <v>10000.006249998047</v>
      </c>
    </row>
    <row r="25" spans="1:1">
      <c r="A25" s="4" t="s">
        <v>211</v>
      </c>
    </row>
    <row r="26" spans="1:1">
      <c r="A26">
        <f>SQRT(B3^2 + C3^2 + D3^2)</f>
        <v>60000.048333313869</v>
      </c>
    </row>
    <row r="28" spans="1:1">
      <c r="A28" s="4" t="s">
        <v>212</v>
      </c>
    </row>
    <row r="29" spans="1:1">
      <c r="A29">
        <f>A17/(A20*A26)</f>
        <v>0.99999999944444606</v>
      </c>
    </row>
    <row r="47" spans="1:10">
      <c r="A47" s="17" t="s">
        <v>264</v>
      </c>
      <c r="B47" s="17"/>
      <c r="C47" s="17"/>
      <c r="D47" s="17"/>
      <c r="E47" s="17"/>
      <c r="F47" s="17"/>
      <c r="G47" s="17"/>
      <c r="H47" s="17"/>
      <c r="I47" s="17"/>
      <c r="J47" s="4"/>
    </row>
  </sheetData>
  <mergeCells count="1">
    <mergeCell ref="A47:I47"/>
  </mergeCells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3F6CED-D633-4179-8246-D3BE52185BE4}">
  <dimension ref="A1:J47"/>
  <sheetViews>
    <sheetView topLeftCell="A36" zoomScale="68" workbookViewId="0">
      <selection activeCell="A47" sqref="A47:J47"/>
    </sheetView>
  </sheetViews>
  <sheetFormatPr defaultRowHeight="14.5"/>
  <cols>
    <col min="1" max="1" width="7.26953125" customWidth="1"/>
  </cols>
  <sheetData>
    <row r="1" spans="1:4">
      <c r="A1" s="15" t="s">
        <v>68</v>
      </c>
      <c r="B1" s="15" t="s">
        <v>198</v>
      </c>
      <c r="C1" s="15" t="s">
        <v>213</v>
      </c>
    </row>
    <row r="2" spans="1:4">
      <c r="A2" s="12">
        <v>22</v>
      </c>
      <c r="B2" s="12">
        <v>30</v>
      </c>
      <c r="C2" s="12">
        <v>150</v>
      </c>
    </row>
    <row r="3" spans="1:4">
      <c r="A3" s="12">
        <v>25</v>
      </c>
      <c r="B3" s="12">
        <v>35</v>
      </c>
      <c r="C3" s="12">
        <v>200</v>
      </c>
    </row>
    <row r="4" spans="1:4">
      <c r="A4" s="12">
        <v>30</v>
      </c>
      <c r="B4" s="12">
        <v>50</v>
      </c>
      <c r="C4" s="12">
        <v>250</v>
      </c>
    </row>
    <row r="6" spans="1:4">
      <c r="A6" s="4" t="s">
        <v>214</v>
      </c>
    </row>
    <row r="7" spans="1:4">
      <c r="A7" s="3" t="s">
        <v>218</v>
      </c>
      <c r="B7">
        <v>22</v>
      </c>
      <c r="C7">
        <v>30</v>
      </c>
      <c r="D7">
        <v>150</v>
      </c>
    </row>
    <row r="8" spans="1:4">
      <c r="A8" s="11"/>
      <c r="B8">
        <v>25</v>
      </c>
      <c r="C8">
        <v>35</v>
      </c>
      <c r="D8">
        <v>200</v>
      </c>
    </row>
    <row r="9" spans="1:4">
      <c r="A9" s="11"/>
      <c r="B9">
        <v>30</v>
      </c>
      <c r="C9">
        <v>50</v>
      </c>
      <c r="D9">
        <v>250</v>
      </c>
    </row>
    <row r="10" spans="1:4">
      <c r="A10" s="11"/>
    </row>
    <row r="11" spans="1:4">
      <c r="A11" s="4" t="s">
        <v>215</v>
      </c>
    </row>
    <row r="12" spans="1:4">
      <c r="A12" t="s">
        <v>216</v>
      </c>
    </row>
    <row r="14" spans="1:4">
      <c r="A14" s="4" t="s">
        <v>217</v>
      </c>
    </row>
    <row r="15" spans="1:4">
      <c r="A15" s="3" t="s">
        <v>219</v>
      </c>
      <c r="B15" cm="1">
        <f t="array" ref="B15:D17">2*B7:D9</f>
        <v>44</v>
      </c>
      <c r="C15">
        <v>60</v>
      </c>
      <c r="D15">
        <v>300</v>
      </c>
    </row>
    <row r="16" spans="1:4">
      <c r="B16">
        <v>50</v>
      </c>
      <c r="C16">
        <v>70</v>
      </c>
      <c r="D16">
        <v>400</v>
      </c>
    </row>
    <row r="17" spans="1:4">
      <c r="B17">
        <v>60</v>
      </c>
      <c r="C17">
        <v>100</v>
      </c>
      <c r="D17">
        <v>500</v>
      </c>
    </row>
    <row r="19" spans="1:4">
      <c r="A19" s="4" t="s">
        <v>220</v>
      </c>
    </row>
    <row r="20" spans="1:4">
      <c r="A20" t="s">
        <v>221</v>
      </c>
      <c r="B20" cm="1">
        <f t="array" ref="B20:D22">B7:D9+B7:D9</f>
        <v>44</v>
      </c>
      <c r="C20">
        <v>60</v>
      </c>
      <c r="D20">
        <v>300</v>
      </c>
    </row>
    <row r="21" spans="1:4">
      <c r="B21">
        <v>50</v>
      </c>
      <c r="C21">
        <v>70</v>
      </c>
      <c r="D21">
        <v>400</v>
      </c>
    </row>
    <row r="22" spans="1:4">
      <c r="B22">
        <v>60</v>
      </c>
      <c r="C22">
        <v>100</v>
      </c>
      <c r="D22">
        <v>500</v>
      </c>
    </row>
    <row r="24" spans="1:4">
      <c r="A24" s="4" t="s">
        <v>222</v>
      </c>
    </row>
    <row r="25" spans="1:4">
      <c r="A25" s="4" t="s">
        <v>227</v>
      </c>
    </row>
    <row r="26" spans="1:4">
      <c r="A26" t="s">
        <v>223</v>
      </c>
    </row>
    <row r="27" spans="1:4">
      <c r="A27" s="4" t="s">
        <v>228</v>
      </c>
    </row>
    <row r="28" spans="1:4">
      <c r="A28" t="s">
        <v>224</v>
      </c>
    </row>
    <row r="29" spans="1:4">
      <c r="A29" t="s">
        <v>225</v>
      </c>
    </row>
    <row r="30" spans="1:4">
      <c r="A30" t="s">
        <v>226</v>
      </c>
    </row>
    <row r="47" spans="1:10">
      <c r="A47" s="17" t="s">
        <v>265</v>
      </c>
      <c r="B47" s="17"/>
      <c r="C47" s="17"/>
      <c r="D47" s="17"/>
      <c r="E47" s="17"/>
      <c r="F47" s="17"/>
      <c r="G47" s="17"/>
      <c r="H47" s="17"/>
      <c r="I47" s="17"/>
      <c r="J47" s="17"/>
    </row>
  </sheetData>
  <mergeCells count="1">
    <mergeCell ref="A47:J47"/>
  </mergeCells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81C7E4-35F1-4855-8EF3-327F8CAABFBB}">
  <dimension ref="A1:J47"/>
  <sheetViews>
    <sheetView topLeftCell="A44" zoomScale="78" workbookViewId="0">
      <selection activeCell="A47" sqref="A47:J47"/>
    </sheetView>
  </sheetViews>
  <sheetFormatPr defaultRowHeight="14.5"/>
  <sheetData>
    <row r="1" spans="1:3">
      <c r="A1" s="15" t="s">
        <v>68</v>
      </c>
      <c r="B1" s="15" t="s">
        <v>198</v>
      </c>
    </row>
    <row r="2" spans="1:3">
      <c r="A2" s="12">
        <v>25</v>
      </c>
      <c r="B2" s="12">
        <v>40</v>
      </c>
    </row>
    <row r="3" spans="1:3">
      <c r="A3" s="12">
        <v>30</v>
      </c>
      <c r="B3" s="12">
        <v>50</v>
      </c>
    </row>
    <row r="4" spans="1:3">
      <c r="A4" s="12">
        <v>35</v>
      </c>
      <c r="B4" s="12">
        <v>60</v>
      </c>
    </row>
    <row r="6" spans="1:3">
      <c r="A6" s="4" t="s">
        <v>214</v>
      </c>
    </row>
    <row r="7" spans="1:3">
      <c r="A7" t="s">
        <v>229</v>
      </c>
      <c r="B7">
        <v>25</v>
      </c>
      <c r="C7">
        <v>40</v>
      </c>
    </row>
    <row r="8" spans="1:3">
      <c r="B8">
        <v>30</v>
      </c>
      <c r="C8">
        <v>50</v>
      </c>
    </row>
    <row r="9" spans="1:3">
      <c r="B9">
        <v>35</v>
      </c>
      <c r="C9">
        <v>60</v>
      </c>
    </row>
    <row r="11" spans="1:3">
      <c r="A11" s="4" t="s">
        <v>230</v>
      </c>
    </row>
    <row r="12" spans="1:3">
      <c r="A12" t="s">
        <v>231</v>
      </c>
      <c r="B12">
        <v>1</v>
      </c>
      <c r="C12">
        <v>0</v>
      </c>
    </row>
    <row r="13" spans="1:3">
      <c r="B13">
        <v>0</v>
      </c>
      <c r="C13">
        <v>2</v>
      </c>
    </row>
    <row r="15" spans="1:3">
      <c r="A15" s="4" t="s">
        <v>232</v>
      </c>
    </row>
    <row r="16" spans="1:3">
      <c r="A16" t="s">
        <v>233</v>
      </c>
      <c r="B16" cm="1">
        <f t="array" ref="B16:C18">MMULT(B7:C9, B12:C13)</f>
        <v>25</v>
      </c>
      <c r="C16">
        <v>80</v>
      </c>
    </row>
    <row r="17" spans="1:4">
      <c r="B17">
        <v>30</v>
      </c>
      <c r="C17">
        <v>100</v>
      </c>
    </row>
    <row r="18" spans="1:4">
      <c r="B18">
        <v>35</v>
      </c>
      <c r="C18">
        <v>120</v>
      </c>
    </row>
    <row r="20" spans="1:4">
      <c r="A20" s="4" t="s">
        <v>234</v>
      </c>
    </row>
    <row r="21" spans="1:4">
      <c r="A21" t="s">
        <v>235</v>
      </c>
      <c r="B21" cm="1">
        <f t="array" ref="B21:D22">TRANSPOSE(B7:C9)</f>
        <v>25</v>
      </c>
      <c r="C21">
        <v>30</v>
      </c>
      <c r="D21">
        <v>35</v>
      </c>
    </row>
    <row r="22" spans="1:4">
      <c r="B22">
        <v>40</v>
      </c>
      <c r="C22">
        <v>50</v>
      </c>
      <c r="D22">
        <v>60</v>
      </c>
    </row>
    <row r="47" spans="1:10">
      <c r="A47" s="17" t="s">
        <v>266</v>
      </c>
      <c r="B47" s="17"/>
      <c r="C47" s="17"/>
      <c r="D47" s="17"/>
      <c r="E47" s="17"/>
      <c r="F47" s="17"/>
      <c r="G47" s="17"/>
      <c r="H47" s="17"/>
      <c r="I47" s="17"/>
      <c r="J47" s="17"/>
    </row>
  </sheetData>
  <mergeCells count="1">
    <mergeCell ref="A47:J47"/>
  </mergeCells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6EE77F-EFAC-4721-9367-F63984EBB829}">
  <dimension ref="A1:L47"/>
  <sheetViews>
    <sheetView topLeftCell="A31" zoomScale="50" workbookViewId="0">
      <selection activeCell="J51" sqref="J51"/>
    </sheetView>
  </sheetViews>
  <sheetFormatPr defaultRowHeight="14.5"/>
  <sheetData>
    <row r="1" spans="1:5">
      <c r="A1" s="11" t="s">
        <v>236</v>
      </c>
    </row>
    <row r="2" spans="1:5">
      <c r="A2" s="4" t="s">
        <v>237</v>
      </c>
    </row>
    <row r="4" spans="1:5">
      <c r="A4" s="4" t="s">
        <v>238</v>
      </c>
    </row>
    <row r="5" spans="1:5">
      <c r="A5">
        <v>3</v>
      </c>
      <c r="B5">
        <v>2</v>
      </c>
      <c r="C5" t="s">
        <v>239</v>
      </c>
      <c r="D5" s="16" t="s">
        <v>241</v>
      </c>
      <c r="E5">
        <v>16</v>
      </c>
    </row>
    <row r="6" spans="1:5">
      <c r="A6">
        <v>1</v>
      </c>
      <c r="B6">
        <v>4</v>
      </c>
      <c r="C6" t="s">
        <v>240</v>
      </c>
      <c r="D6" s="16"/>
      <c r="E6">
        <v>14</v>
      </c>
    </row>
    <row r="8" spans="1:5">
      <c r="A8" t="s">
        <v>229</v>
      </c>
      <c r="B8">
        <v>3</v>
      </c>
      <c r="C8">
        <v>2</v>
      </c>
    </row>
    <row r="9" spans="1:5">
      <c r="B9">
        <v>1</v>
      </c>
      <c r="C9">
        <v>4</v>
      </c>
    </row>
    <row r="10" spans="1:5">
      <c r="A10" t="s">
        <v>242</v>
      </c>
      <c r="B10" t="s">
        <v>239</v>
      </c>
    </row>
    <row r="11" spans="1:5">
      <c r="B11" t="s">
        <v>240</v>
      </c>
    </row>
    <row r="12" spans="1:5">
      <c r="A12" t="s">
        <v>243</v>
      </c>
      <c r="B12">
        <v>16</v>
      </c>
    </row>
    <row r="13" spans="1:5">
      <c r="B13">
        <v>14</v>
      </c>
    </row>
    <row r="15" spans="1:5">
      <c r="A15" s="4" t="s">
        <v>244</v>
      </c>
    </row>
    <row r="16" spans="1:5">
      <c r="A16" t="s">
        <v>245</v>
      </c>
      <c r="B16">
        <f>MDETERM(B8:C9)</f>
        <v>10</v>
      </c>
    </row>
    <row r="18" spans="1:3">
      <c r="A18" s="4" t="s">
        <v>246</v>
      </c>
    </row>
    <row r="19" spans="1:3">
      <c r="A19" t="s">
        <v>248</v>
      </c>
      <c r="B19" cm="1">
        <f t="array" ref="B19:C20">MINVERSE(B8:C9)</f>
        <v>0.39999999999999997</v>
      </c>
      <c r="C19">
        <v>-0.19999999999999998</v>
      </c>
    </row>
    <row r="20" spans="1:3">
      <c r="B20">
        <v>-9.9999999999999992E-2</v>
      </c>
      <c r="C20">
        <v>0.3</v>
      </c>
    </row>
    <row r="22" spans="1:3">
      <c r="A22" s="4" t="s">
        <v>247</v>
      </c>
    </row>
    <row r="23" spans="1:3">
      <c r="A23" t="s">
        <v>249</v>
      </c>
      <c r="B23" cm="1">
        <f t="array" ref="B23:B24">MMULT(MINVERSE(B8:C9), B12:B13)</f>
        <v>3.5999999999999996</v>
      </c>
    </row>
    <row r="24" spans="1:3">
      <c r="B24">
        <v>2.6000000000000005</v>
      </c>
    </row>
    <row r="47" spans="1:12">
      <c r="A47" s="17" t="s">
        <v>267</v>
      </c>
      <c r="B47" s="17"/>
      <c r="C47" s="17"/>
      <c r="D47" s="17"/>
      <c r="E47" s="17"/>
      <c r="F47" s="17"/>
      <c r="G47" s="17"/>
      <c r="H47" s="17"/>
      <c r="I47" s="17"/>
      <c r="J47" s="17"/>
      <c r="K47" s="21"/>
      <c r="L47" s="21"/>
    </row>
  </sheetData>
  <mergeCells count="2">
    <mergeCell ref="D5:D6"/>
    <mergeCell ref="A47:J47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Session1_Project</vt:lpstr>
      <vt:lpstr>Session2_Project</vt:lpstr>
      <vt:lpstr>Session3_Project</vt:lpstr>
      <vt:lpstr>Session4_Project</vt:lpstr>
      <vt:lpstr>Session5_Project</vt:lpstr>
      <vt:lpstr>Session6_Project</vt:lpstr>
      <vt:lpstr>Session7_Project</vt:lpstr>
      <vt:lpstr>Session10_Project</vt:lpstr>
      <vt:lpstr>Session12_Project</vt:lpstr>
      <vt:lpstr>Session13_Project</vt:lpstr>
      <vt:lpstr>Session14_Project</vt:lpstr>
      <vt:lpstr>Session15_Project</vt:lpstr>
      <vt:lpstr>Session16_Project</vt:lpstr>
      <vt:lpstr>Session17_Project</vt:lpstr>
      <vt:lpstr>Session_1_Project</vt:lpstr>
      <vt:lpstr>Session_2_Project</vt:lpstr>
      <vt:lpstr>Session_3_Project</vt:lpstr>
      <vt:lpstr>Session_4_Project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PRIYANSHU PATEL</dc:creator>
  <cp:lastModifiedBy>PRIYANSHU PATEL</cp:lastModifiedBy>
  <cp:lastPrinted>2026-03-31T19:35:47Z</cp:lastPrinted>
  <dcterms:created xsi:type="dcterms:W3CDTF">2026-02-17T18:13:19Z</dcterms:created>
  <dcterms:modified xsi:type="dcterms:W3CDTF">2026-03-31T19:35:50Z</dcterms:modified>
</cp:coreProperties>
</file>