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Y DATA\GITHUB DATA\TOPS_TECH\ClASSWORK\STATISTICS_16_2_26\"/>
    </mc:Choice>
  </mc:AlternateContent>
  <xr:revisionPtr revIDLastSave="0" documentId="13_ncr:1_{3EB2957E-E22D-44F5-9F78-ACB346CA4A43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Session1_Project" sheetId="4" r:id="rId1"/>
    <sheet name="Session2_Project" sheetId="5" r:id="rId2"/>
    <sheet name="Session3_Project" sheetId="2" r:id="rId3"/>
    <sheet name="Session4_Project" sheetId="3" r:id="rId4"/>
    <sheet name="Session5_Projec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" l="1"/>
  <c r="B10" i="2"/>
  <c r="B15" i="2"/>
  <c r="B14" i="2"/>
  <c r="C9" i="3"/>
  <c r="B9" i="3"/>
  <c r="B8" i="3"/>
  <c r="B7" i="3"/>
  <c r="D13" i="4"/>
  <c r="B53" i="4"/>
</calcChain>
</file>

<file path=xl/sharedStrings.xml><?xml version="1.0" encoding="utf-8"?>
<sst xmlns="http://schemas.openxmlformats.org/spreadsheetml/2006/main" count="152" uniqueCount="114">
  <si>
    <t>CustomerID</t>
  </si>
  <si>
    <t>Sales</t>
  </si>
  <si>
    <t>Month</t>
  </si>
  <si>
    <t>M1</t>
  </si>
  <si>
    <t>M2</t>
  </si>
  <si>
    <t>M3</t>
  </si>
  <si>
    <t>M4</t>
  </si>
  <si>
    <t>M5</t>
  </si>
  <si>
    <t>Mean</t>
  </si>
  <si>
    <t>Median</t>
  </si>
  <si>
    <t>MonthlySpend</t>
  </si>
  <si>
    <t>Range</t>
  </si>
  <si>
    <t>Variance</t>
  </si>
  <si>
    <t>SD</t>
  </si>
  <si>
    <t>C050</t>
  </si>
  <si>
    <t>C049</t>
  </si>
  <si>
    <t>C048</t>
  </si>
  <si>
    <t>C047</t>
  </si>
  <si>
    <t>C046</t>
  </si>
  <si>
    <t>C045</t>
  </si>
  <si>
    <t>C044</t>
  </si>
  <si>
    <t>C043</t>
  </si>
  <si>
    <t>C042</t>
  </si>
  <si>
    <t>C041</t>
  </si>
  <si>
    <t>C040</t>
  </si>
  <si>
    <t>C039</t>
  </si>
  <si>
    <t>C038</t>
  </si>
  <si>
    <t>C037</t>
  </si>
  <si>
    <t>C036</t>
  </si>
  <si>
    <t>C035</t>
  </si>
  <si>
    <t>C034</t>
  </si>
  <si>
    <t>C033</t>
  </si>
  <si>
    <t>C032</t>
  </si>
  <si>
    <t>C031</t>
  </si>
  <si>
    <t>C030</t>
  </si>
  <si>
    <t>C029</t>
  </si>
  <si>
    <t>C028</t>
  </si>
  <si>
    <t>C027</t>
  </si>
  <si>
    <t>C026</t>
  </si>
  <si>
    <t>C025</t>
  </si>
  <si>
    <t>C024</t>
  </si>
  <si>
    <t>C023</t>
  </si>
  <si>
    <t>C022</t>
  </si>
  <si>
    <t>C021</t>
  </si>
  <si>
    <t>C020</t>
  </si>
  <si>
    <t>C019</t>
  </si>
  <si>
    <t>C018</t>
  </si>
  <si>
    <t>Average customer spend is around ₹1250–₹1300</t>
  </si>
  <si>
    <t>Business decision</t>
  </si>
  <si>
    <t>C017</t>
  </si>
  <si>
    <t>yes but larger sample would be more reliable</t>
  </si>
  <si>
    <t>Is sampling reliable?</t>
  </si>
  <si>
    <t>C016</t>
  </si>
  <si>
    <t>14/1273 * 100 is 1.1 so it is close</t>
  </si>
  <si>
    <t>Is sample close to population?</t>
  </si>
  <si>
    <t>C015</t>
  </si>
  <si>
    <t>sample mean is 14 lower than the population mean.</t>
  </si>
  <si>
    <t>Comparison</t>
  </si>
  <si>
    <t>C014</t>
  </si>
  <si>
    <t>C013</t>
  </si>
  <si>
    <t>C012</t>
  </si>
  <si>
    <t>C011</t>
  </si>
  <si>
    <t>C010</t>
  </si>
  <si>
    <t>C009</t>
  </si>
  <si>
    <t>C008</t>
  </si>
  <si>
    <t>C007</t>
  </si>
  <si>
    <t>C006</t>
  </si>
  <si>
    <t>C005</t>
  </si>
  <si>
    <t>C004</t>
  </si>
  <si>
    <t>C003</t>
  </si>
  <si>
    <t>C002</t>
  </si>
  <si>
    <t>C001</t>
  </si>
  <si>
    <t>Customer ID</t>
  </si>
  <si>
    <t>Sample</t>
  </si>
  <si>
    <t>Population</t>
  </si>
  <si>
    <t>Column</t>
  </si>
  <si>
    <t>Type</t>
  </si>
  <si>
    <t>Categorical</t>
  </si>
  <si>
    <t>Age</t>
  </si>
  <si>
    <t>Numerical</t>
  </si>
  <si>
    <t>Gender</t>
  </si>
  <si>
    <t>City</t>
  </si>
  <si>
    <t>SatisfactionLevel</t>
  </si>
  <si>
    <t>Discrete</t>
  </si>
  <si>
    <t>Continuous</t>
  </si>
  <si>
    <t>Nominal</t>
  </si>
  <si>
    <t>-</t>
  </si>
  <si>
    <t>Ordinal</t>
  </si>
  <si>
    <t>Ratio</t>
  </si>
  <si>
    <t xml:space="preserve">Mode </t>
  </si>
  <si>
    <t xml:space="preserve"> - </t>
  </si>
  <si>
    <t>Before</t>
  </si>
  <si>
    <t>After</t>
  </si>
  <si>
    <t>Mode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</si>
  <si>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</si>
  <si>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</si>
  <si>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</si>
  <si>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</si>
  <si>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</si>
  <si>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</si>
  <si>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</si>
  <si>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</si>
  <si>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</si>
  <si>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</si>
  <si>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CustomerId</t>
  </si>
  <si>
    <t>Mid Value = 4250</t>
  </si>
  <si>
    <t>Q1 = 3000</t>
  </si>
  <si>
    <t>q3 = 5500</t>
  </si>
  <si>
    <t>IQR = 5500 - 3000 = 2500</t>
  </si>
  <si>
    <t>Lower bound = -750</t>
  </si>
  <si>
    <t>Upper bound = 9250</t>
  </si>
  <si>
    <t>Outlier = 15000</t>
  </si>
  <si>
    <t>p = 25(10+1)/100 = 2.75</t>
  </si>
  <si>
    <t xml:space="preserve">So 2.75th position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</si>
</sst>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D0C5-5139-4337-9B29-CFC8ADE29867}">
  <dimension ref="A1:G53"/>
  <sheetViews>
    <sheetView zoomScale="80" workbookViewId="0">
      <selection activeCell="G17" sqref="G17"/>
    </sheetView>
  </sheetViews>
  <sheetFormatPr defaultRowHeight="14.5" x14ac:dyDescent="0.35"/>
  <cols>
    <col min="6" max="6" width="35.90625" customWidth="1"/>
    <col min="7" max="7" width="52" customWidth="1"/>
  </cols>
  <sheetData>
    <row r="1" spans="1:7" x14ac:dyDescent="0.35">
      <c r="A1" t="s">
        <v>74</v>
      </c>
      <c r="C1" t="s">
        <v>73</v>
      </c>
    </row>
    <row r="2" spans="1:7" x14ac:dyDescent="0.35">
      <c r="A2" t="s">
        <v>72</v>
      </c>
      <c r="B2" t="s">
        <v>1</v>
      </c>
      <c r="C2" t="s">
        <v>72</v>
      </c>
      <c r="D2" t="s">
        <v>1</v>
      </c>
    </row>
    <row r="3" spans="1:7" x14ac:dyDescent="0.35">
      <c r="A3" t="s">
        <v>71</v>
      </c>
      <c r="B3">
        <v>1200</v>
      </c>
      <c r="C3" t="s">
        <v>69</v>
      </c>
      <c r="D3">
        <v>430</v>
      </c>
    </row>
    <row r="4" spans="1:7" x14ac:dyDescent="0.35">
      <c r="A4" t="s">
        <v>70</v>
      </c>
      <c r="B4">
        <v>850</v>
      </c>
      <c r="C4" t="s">
        <v>68</v>
      </c>
      <c r="D4">
        <v>2200</v>
      </c>
    </row>
    <row r="5" spans="1:7" x14ac:dyDescent="0.35">
      <c r="A5" t="s">
        <v>69</v>
      </c>
      <c r="B5">
        <v>430</v>
      </c>
      <c r="C5" t="s">
        <v>67</v>
      </c>
      <c r="D5">
        <v>1750</v>
      </c>
    </row>
    <row r="6" spans="1:7" x14ac:dyDescent="0.35">
      <c r="A6" t="s">
        <v>68</v>
      </c>
      <c r="B6">
        <v>2200</v>
      </c>
      <c r="C6" t="s">
        <v>66</v>
      </c>
      <c r="D6">
        <v>980</v>
      </c>
    </row>
    <row r="7" spans="1:7" x14ac:dyDescent="0.35">
      <c r="A7" t="s">
        <v>67</v>
      </c>
      <c r="B7">
        <v>1750</v>
      </c>
      <c r="C7" t="s">
        <v>65</v>
      </c>
      <c r="D7">
        <v>1500</v>
      </c>
    </row>
    <row r="8" spans="1:7" x14ac:dyDescent="0.35">
      <c r="A8" t="s">
        <v>66</v>
      </c>
      <c r="B8">
        <v>980</v>
      </c>
      <c r="C8" t="s">
        <v>64</v>
      </c>
      <c r="D8">
        <v>760</v>
      </c>
    </row>
    <row r="9" spans="1:7" x14ac:dyDescent="0.35">
      <c r="A9" t="s">
        <v>65</v>
      </c>
      <c r="B9">
        <v>1500</v>
      </c>
      <c r="C9" t="s">
        <v>63</v>
      </c>
      <c r="D9">
        <v>1340</v>
      </c>
    </row>
    <row r="10" spans="1:7" x14ac:dyDescent="0.35">
      <c r="A10" t="s">
        <v>64</v>
      </c>
      <c r="B10">
        <v>760</v>
      </c>
      <c r="C10" t="s">
        <v>62</v>
      </c>
      <c r="D10">
        <v>890</v>
      </c>
    </row>
    <row r="11" spans="1:7" x14ac:dyDescent="0.35">
      <c r="A11" t="s">
        <v>63</v>
      </c>
      <c r="B11">
        <v>1340</v>
      </c>
      <c r="C11" t="s">
        <v>61</v>
      </c>
      <c r="D11">
        <v>2100</v>
      </c>
    </row>
    <row r="12" spans="1:7" ht="15" thickBot="1" x14ac:dyDescent="0.4">
      <c r="A12" t="s">
        <v>62</v>
      </c>
      <c r="B12">
        <v>890</v>
      </c>
      <c r="C12" t="s">
        <v>60</v>
      </c>
      <c r="D12">
        <v>640</v>
      </c>
    </row>
    <row r="13" spans="1:7" ht="15" thickBot="1" x14ac:dyDescent="0.4">
      <c r="A13" t="s">
        <v>61</v>
      </c>
      <c r="B13">
        <v>2100</v>
      </c>
      <c r="D13" s="1">
        <f>AVERAGE(D3:D12)</f>
        <v>1259</v>
      </c>
    </row>
    <row r="14" spans="1:7" x14ac:dyDescent="0.35">
      <c r="A14" t="s">
        <v>60</v>
      </c>
      <c r="B14">
        <v>640</v>
      </c>
    </row>
    <row r="15" spans="1:7" x14ac:dyDescent="0.35">
      <c r="A15" t="s">
        <v>59</v>
      </c>
      <c r="B15">
        <v>1120</v>
      </c>
    </row>
    <row r="16" spans="1:7" x14ac:dyDescent="0.35">
      <c r="A16" t="s">
        <v>58</v>
      </c>
      <c r="B16">
        <v>1580</v>
      </c>
      <c r="F16" t="s">
        <v>57</v>
      </c>
      <c r="G16" t="s">
        <v>56</v>
      </c>
    </row>
    <row r="17" spans="1:7" x14ac:dyDescent="0.35">
      <c r="A17" t="s">
        <v>55</v>
      </c>
      <c r="B17">
        <v>720</v>
      </c>
      <c r="F17" t="s">
        <v>54</v>
      </c>
      <c r="G17" t="s">
        <v>53</v>
      </c>
    </row>
    <row r="18" spans="1:7" x14ac:dyDescent="0.35">
      <c r="A18" t="s">
        <v>52</v>
      </c>
      <c r="B18">
        <v>1990</v>
      </c>
      <c r="F18" t="s">
        <v>51</v>
      </c>
      <c r="G18" t="s">
        <v>50</v>
      </c>
    </row>
    <row r="19" spans="1:7" x14ac:dyDescent="0.35">
      <c r="A19" t="s">
        <v>49</v>
      </c>
      <c r="B19">
        <v>3050</v>
      </c>
      <c r="F19" t="s">
        <v>48</v>
      </c>
      <c r="G19" t="s">
        <v>47</v>
      </c>
    </row>
    <row r="20" spans="1:7" x14ac:dyDescent="0.35">
      <c r="A20" t="s">
        <v>46</v>
      </c>
      <c r="B20">
        <v>470</v>
      </c>
    </row>
    <row r="21" spans="1:7" x14ac:dyDescent="0.35">
      <c r="A21" t="s">
        <v>45</v>
      </c>
      <c r="B21">
        <v>880</v>
      </c>
    </row>
    <row r="22" spans="1:7" x14ac:dyDescent="0.35">
      <c r="A22" t="s">
        <v>44</v>
      </c>
      <c r="B22">
        <v>1620</v>
      </c>
    </row>
    <row r="23" spans="1:7" x14ac:dyDescent="0.35">
      <c r="A23" t="s">
        <v>43</v>
      </c>
      <c r="B23">
        <v>540</v>
      </c>
    </row>
    <row r="24" spans="1:7" x14ac:dyDescent="0.35">
      <c r="A24" t="s">
        <v>42</v>
      </c>
      <c r="B24">
        <v>2450</v>
      </c>
    </row>
    <row r="25" spans="1:7" x14ac:dyDescent="0.35">
      <c r="A25" t="s">
        <v>41</v>
      </c>
      <c r="B25">
        <v>910</v>
      </c>
    </row>
    <row r="26" spans="1:7" x14ac:dyDescent="0.35">
      <c r="A26" t="s">
        <v>40</v>
      </c>
      <c r="B26">
        <v>1330</v>
      </c>
    </row>
    <row r="27" spans="1:7" x14ac:dyDescent="0.35">
      <c r="A27" t="s">
        <v>39</v>
      </c>
      <c r="B27">
        <v>780</v>
      </c>
    </row>
    <row r="28" spans="1:7" x14ac:dyDescent="0.35">
      <c r="A28" t="s">
        <v>38</v>
      </c>
      <c r="B28">
        <v>1560</v>
      </c>
    </row>
    <row r="29" spans="1:7" x14ac:dyDescent="0.35">
      <c r="A29" t="s">
        <v>37</v>
      </c>
      <c r="B29">
        <v>990</v>
      </c>
    </row>
    <row r="30" spans="1:7" x14ac:dyDescent="0.35">
      <c r="A30" t="s">
        <v>36</v>
      </c>
      <c r="B30">
        <v>1870</v>
      </c>
    </row>
    <row r="31" spans="1:7" x14ac:dyDescent="0.35">
      <c r="A31" t="s">
        <v>35</v>
      </c>
      <c r="B31">
        <v>610</v>
      </c>
    </row>
    <row r="32" spans="1:7" x14ac:dyDescent="0.35">
      <c r="A32" t="s">
        <v>34</v>
      </c>
      <c r="B32">
        <v>1420</v>
      </c>
    </row>
    <row r="33" spans="1:2" x14ac:dyDescent="0.35">
      <c r="A33" t="s">
        <v>33</v>
      </c>
      <c r="B33">
        <v>520</v>
      </c>
    </row>
    <row r="34" spans="1:2" x14ac:dyDescent="0.35">
      <c r="A34" t="s">
        <v>32</v>
      </c>
      <c r="B34">
        <v>1760</v>
      </c>
    </row>
    <row r="35" spans="1:2" x14ac:dyDescent="0.35">
      <c r="A35" t="s">
        <v>31</v>
      </c>
      <c r="B35">
        <v>940</v>
      </c>
    </row>
    <row r="36" spans="1:2" x14ac:dyDescent="0.35">
      <c r="A36" t="s">
        <v>30</v>
      </c>
      <c r="B36">
        <v>2680</v>
      </c>
    </row>
    <row r="37" spans="1:2" x14ac:dyDescent="0.35">
      <c r="A37" t="s">
        <v>29</v>
      </c>
      <c r="B37">
        <v>830</v>
      </c>
    </row>
    <row r="38" spans="1:2" x14ac:dyDescent="0.35">
      <c r="A38" t="s">
        <v>28</v>
      </c>
      <c r="B38">
        <v>1210</v>
      </c>
    </row>
    <row r="39" spans="1:2" x14ac:dyDescent="0.35">
      <c r="A39" t="s">
        <v>27</v>
      </c>
      <c r="B39">
        <v>690</v>
      </c>
    </row>
    <row r="40" spans="1:2" x14ac:dyDescent="0.35">
      <c r="A40" t="s">
        <v>26</v>
      </c>
      <c r="B40">
        <v>1540</v>
      </c>
    </row>
    <row r="41" spans="1:2" x14ac:dyDescent="0.35">
      <c r="A41" t="s">
        <v>25</v>
      </c>
      <c r="B41">
        <v>1100</v>
      </c>
    </row>
    <row r="42" spans="1:2" x14ac:dyDescent="0.35">
      <c r="A42" t="s">
        <v>24</v>
      </c>
      <c r="B42">
        <v>2300</v>
      </c>
    </row>
    <row r="43" spans="1:2" x14ac:dyDescent="0.35">
      <c r="A43" t="s">
        <v>23</v>
      </c>
      <c r="B43">
        <v>480</v>
      </c>
    </row>
    <row r="44" spans="1:2" x14ac:dyDescent="0.35">
      <c r="A44" t="s">
        <v>22</v>
      </c>
      <c r="B44">
        <v>970</v>
      </c>
    </row>
    <row r="45" spans="1:2" x14ac:dyDescent="0.35">
      <c r="A45" t="s">
        <v>21</v>
      </c>
      <c r="B45">
        <v>1850</v>
      </c>
    </row>
    <row r="46" spans="1:2" x14ac:dyDescent="0.35">
      <c r="A46" t="s">
        <v>20</v>
      </c>
      <c r="B46">
        <v>760</v>
      </c>
    </row>
    <row r="47" spans="1:2" x14ac:dyDescent="0.35">
      <c r="A47" t="s">
        <v>19</v>
      </c>
      <c r="B47">
        <v>1490</v>
      </c>
    </row>
    <row r="48" spans="1:2" x14ac:dyDescent="0.35">
      <c r="A48" t="s">
        <v>18</v>
      </c>
      <c r="B48">
        <v>1020</v>
      </c>
    </row>
    <row r="49" spans="1:2" x14ac:dyDescent="0.35">
      <c r="A49" t="s">
        <v>17</v>
      </c>
      <c r="B49">
        <v>2150</v>
      </c>
    </row>
    <row r="50" spans="1:2" x14ac:dyDescent="0.35">
      <c r="A50" t="s">
        <v>16</v>
      </c>
      <c r="B50">
        <v>570</v>
      </c>
    </row>
    <row r="51" spans="1:2" x14ac:dyDescent="0.35">
      <c r="A51" t="s">
        <v>15</v>
      </c>
      <c r="B51">
        <v>1390</v>
      </c>
    </row>
    <row r="52" spans="1:2" ht="15" thickBot="1" x14ac:dyDescent="0.4">
      <c r="A52" t="s">
        <v>14</v>
      </c>
      <c r="B52">
        <v>890</v>
      </c>
    </row>
    <row r="53" spans="1:2" ht="15" thickBot="1" x14ac:dyDescent="0.4">
      <c r="B53" s="1">
        <f>AVERAGE(B3:B52)</f>
        <v>1273.4000000000001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1F06-1D22-41EE-B640-1D842841F3CE}">
  <dimension ref="A1:F7"/>
  <sheetViews>
    <sheetView zoomScale="102" workbookViewId="0">
      <selection activeCell="C6" sqref="C6"/>
    </sheetView>
  </sheetViews>
  <sheetFormatPr defaultRowHeight="14.5" x14ac:dyDescent="0.35"/>
  <cols>
    <col min="1" max="1" width="18.26953125" customWidth="1"/>
    <col min="2" max="2" width="18.81640625" customWidth="1"/>
    <col min="3" max="3" width="13.1796875" customWidth="1"/>
    <col min="6" max="6" width="21.7265625" customWidth="1"/>
  </cols>
  <sheetData>
    <row r="1" spans="1:6" x14ac:dyDescent="0.35">
      <c r="A1" s="2" t="s">
        <v>75</v>
      </c>
      <c r="B1" s="2" t="s">
        <v>76</v>
      </c>
      <c r="C1" t="s">
        <v>76</v>
      </c>
      <c r="D1" t="s">
        <v>76</v>
      </c>
      <c r="E1" t="s">
        <v>76</v>
      </c>
    </row>
    <row r="2" spans="1:6" x14ac:dyDescent="0.35">
      <c r="A2" s="3" t="s">
        <v>0</v>
      </c>
      <c r="B2" s="3" t="s">
        <v>77</v>
      </c>
      <c r="C2" t="s">
        <v>83</v>
      </c>
      <c r="D2" t="s">
        <v>85</v>
      </c>
      <c r="E2" t="s">
        <v>85</v>
      </c>
      <c r="F2" s="4"/>
    </row>
    <row r="3" spans="1:6" x14ac:dyDescent="0.35">
      <c r="A3" s="3" t="s">
        <v>78</v>
      </c>
      <c r="B3" s="3" t="s">
        <v>79</v>
      </c>
      <c r="C3" t="s">
        <v>84</v>
      </c>
      <c r="D3" t="s">
        <v>86</v>
      </c>
      <c r="E3" t="s">
        <v>88</v>
      </c>
      <c r="F3" s="4"/>
    </row>
    <row r="4" spans="1:6" x14ac:dyDescent="0.35">
      <c r="A4" s="3" t="s">
        <v>80</v>
      </c>
      <c r="B4" s="3" t="s">
        <v>77</v>
      </c>
      <c r="C4" t="s">
        <v>83</v>
      </c>
      <c r="D4" t="s">
        <v>85</v>
      </c>
      <c r="E4" t="s">
        <v>85</v>
      </c>
      <c r="F4" s="4"/>
    </row>
    <row r="5" spans="1:6" x14ac:dyDescent="0.35">
      <c r="A5" s="3" t="s">
        <v>81</v>
      </c>
      <c r="B5" s="3" t="s">
        <v>77</v>
      </c>
      <c r="C5" t="s">
        <v>83</v>
      </c>
      <c r="D5" t="s">
        <v>85</v>
      </c>
      <c r="E5" t="s">
        <v>85</v>
      </c>
      <c r="F5" s="4"/>
    </row>
    <row r="6" spans="1:6" x14ac:dyDescent="0.35">
      <c r="A6" s="3" t="s">
        <v>82</v>
      </c>
      <c r="B6" s="3" t="s">
        <v>77</v>
      </c>
      <c r="C6" t="s">
        <v>83</v>
      </c>
      <c r="D6" t="s">
        <v>87</v>
      </c>
      <c r="E6" t="s">
        <v>87</v>
      </c>
      <c r="F6" s="4"/>
    </row>
    <row r="7" spans="1:6" x14ac:dyDescent="0.35">
      <c r="A7" s="3" t="s">
        <v>10</v>
      </c>
      <c r="B7" s="3" t="s">
        <v>79</v>
      </c>
      <c r="C7" t="s">
        <v>84</v>
      </c>
      <c r="D7" t="s">
        <v>86</v>
      </c>
      <c r="E7" t="s">
        <v>88</v>
      </c>
      <c r="F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F7" sqref="F7"/>
    </sheetView>
  </sheetViews>
  <sheetFormatPr defaultRowHeight="14.5" x14ac:dyDescent="0.35"/>
  <sheetData>
    <row r="1" spans="1:2" x14ac:dyDescent="0.35">
      <c r="A1" t="s">
        <v>2</v>
      </c>
      <c r="B1" t="s">
        <v>1</v>
      </c>
    </row>
    <row r="2" spans="1:2" x14ac:dyDescent="0.35">
      <c r="A2" t="s">
        <v>3</v>
      </c>
      <c r="B2">
        <v>10000</v>
      </c>
    </row>
    <row r="3" spans="1:2" x14ac:dyDescent="0.35">
      <c r="A3" t="s">
        <v>4</v>
      </c>
      <c r="B3">
        <v>12000</v>
      </c>
    </row>
    <row r="4" spans="1:2" x14ac:dyDescent="0.35">
      <c r="A4" t="s">
        <v>5</v>
      </c>
      <c r="B4">
        <v>13000</v>
      </c>
    </row>
    <row r="5" spans="1:2" x14ac:dyDescent="0.35">
      <c r="A5" t="s">
        <v>6</v>
      </c>
      <c r="B5">
        <v>15000</v>
      </c>
    </row>
    <row r="6" spans="1:2" x14ac:dyDescent="0.35">
      <c r="A6" t="s">
        <v>7</v>
      </c>
      <c r="B6">
        <v>100000</v>
      </c>
    </row>
    <row r="8" spans="1:2" x14ac:dyDescent="0.35">
      <c r="A8" t="s">
        <v>91</v>
      </c>
    </row>
    <row r="9" spans="1:2" x14ac:dyDescent="0.35">
      <c r="A9" t="s">
        <v>8</v>
      </c>
      <c r="B9">
        <f>AVERAGE(B2:B5)</f>
        <v>12500</v>
      </c>
    </row>
    <row r="10" spans="1:2" x14ac:dyDescent="0.35">
      <c r="A10" t="s">
        <v>9</v>
      </c>
      <c r="B10">
        <f>MEDIAN(B2:B5)</f>
        <v>12500</v>
      </c>
    </row>
    <row r="11" spans="1:2" x14ac:dyDescent="0.35">
      <c r="A11" t="s">
        <v>93</v>
      </c>
      <c r="B11" t="s">
        <v>90</v>
      </c>
    </row>
    <row r="13" spans="1:2" x14ac:dyDescent="0.35">
      <c r="A13" t="s">
        <v>92</v>
      </c>
    </row>
    <row r="14" spans="1:2" x14ac:dyDescent="0.35">
      <c r="A14" t="s">
        <v>8</v>
      </c>
      <c r="B14">
        <f>AVERAGE(B2:B6)</f>
        <v>30000</v>
      </c>
    </row>
    <row r="15" spans="1:2" x14ac:dyDescent="0.35">
      <c r="A15" t="s">
        <v>9</v>
      </c>
      <c r="B15">
        <f xml:space="preserve"> MEDIAN(B2:B6)</f>
        <v>13000</v>
      </c>
    </row>
    <row r="16" spans="1:2" x14ac:dyDescent="0.35">
      <c r="A16" t="s">
        <v>89</v>
      </c>
      <c r="B16" t="s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K3" sqref="K3"/>
    </sheetView>
  </sheetViews>
  <sheetFormatPr defaultRowHeight="14.5" x14ac:dyDescent="0.35"/>
  <sheetData>
    <row r="1" spans="1:3" x14ac:dyDescent="0.35">
      <c r="A1" t="s">
        <v>0</v>
      </c>
      <c r="B1" t="s">
        <v>10</v>
      </c>
    </row>
    <row r="2" spans="1:3" x14ac:dyDescent="0.35">
      <c r="A2">
        <v>1</v>
      </c>
      <c r="B2">
        <v>200</v>
      </c>
    </row>
    <row r="3" spans="1:3" x14ac:dyDescent="0.35">
      <c r="A3">
        <v>2</v>
      </c>
      <c r="B3">
        <v>300</v>
      </c>
    </row>
    <row r="4" spans="1:3" x14ac:dyDescent="0.35">
      <c r="A4">
        <v>3</v>
      </c>
      <c r="B4">
        <v>400</v>
      </c>
    </row>
    <row r="5" spans="1:3" x14ac:dyDescent="0.35">
      <c r="A5">
        <v>4</v>
      </c>
      <c r="B5">
        <v>800</v>
      </c>
    </row>
    <row r="7" spans="1:3" x14ac:dyDescent="0.35">
      <c r="A7" t="s">
        <v>11</v>
      </c>
      <c r="B7">
        <f>B5-B2</f>
        <v>600</v>
      </c>
    </row>
    <row r="8" spans="1:3" x14ac:dyDescent="0.35">
      <c r="A8" t="s">
        <v>12</v>
      </c>
      <c r="B8">
        <f>_xlfn.VAR.P(B2:B5)</f>
        <v>51875</v>
      </c>
    </row>
    <row r="9" spans="1:3" x14ac:dyDescent="0.35">
      <c r="A9" t="s">
        <v>13</v>
      </c>
      <c r="B9">
        <f>SQRT(B8)</f>
        <v>227.76083947860747</v>
      </c>
      <c r="C9">
        <f>_xlfn.STDEV.P(B2:B5)</f>
        <v>227.76083947860747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F166-FA26-4349-9C72-594E0E971E73}">
  <dimension ref="A1:F12"/>
  <sheetViews>
    <sheetView tabSelected="1" topLeftCell="A3" workbookViewId="0">
      <selection activeCell="F12" sqref="F12"/>
    </sheetView>
  </sheetViews>
  <sheetFormatPr defaultRowHeight="14.5" x14ac:dyDescent="0.35"/>
  <cols>
    <col min="6" max="6" width="21.36328125" customWidth="1"/>
  </cols>
  <sheetData>
    <row r="1" spans="1:6" x14ac:dyDescent="0.35">
      <c r="A1" t="s">
        <v>104</v>
      </c>
      <c r="B1" t="s">
        <v>10</v>
      </c>
    </row>
    <row r="2" spans="1:6" x14ac:dyDescent="0.35">
      <c r="A2" t="s">
        <v>94</v>
      </c>
      <c r="B2">
        <v>2000</v>
      </c>
    </row>
    <row r="3" spans="1:6" x14ac:dyDescent="0.35">
      <c r="A3" t="s">
        <v>95</v>
      </c>
      <c r="B3">
        <v>2500</v>
      </c>
    </row>
    <row r="4" spans="1:6" x14ac:dyDescent="0.35">
      <c r="A4" t="s">
        <v>96</v>
      </c>
      <c r="B4">
        <v>3000</v>
      </c>
      <c r="F4" t="s">
        <v>105</v>
      </c>
    </row>
    <row r="5" spans="1:6" x14ac:dyDescent="0.35">
      <c r="A5" t="s">
        <v>97</v>
      </c>
      <c r="B5">
        <v>3500</v>
      </c>
      <c r="F5" t="s">
        <v>106</v>
      </c>
    </row>
    <row r="6" spans="1:6" x14ac:dyDescent="0.35">
      <c r="A6" t="s">
        <v>98</v>
      </c>
      <c r="B6">
        <v>4000</v>
      </c>
      <c r="F6" t="s">
        <v>107</v>
      </c>
    </row>
    <row r="7" spans="1:6" x14ac:dyDescent="0.35">
      <c r="A7" t="s">
        <v>99</v>
      </c>
      <c r="B7">
        <v>4500</v>
      </c>
      <c r="F7" t="s">
        <v>108</v>
      </c>
    </row>
    <row r="8" spans="1:6" x14ac:dyDescent="0.35">
      <c r="A8" t="s">
        <v>100</v>
      </c>
      <c r="B8">
        <v>5000</v>
      </c>
      <c r="F8" t="s">
        <v>109</v>
      </c>
    </row>
    <row r="9" spans="1:6" x14ac:dyDescent="0.35">
      <c r="A9" t="s">
        <v>101</v>
      </c>
      <c r="B9">
        <v>5500</v>
      </c>
      <c r="F9" t="s">
        <v>110</v>
      </c>
    </row>
    <row r="10" spans="1:6" x14ac:dyDescent="0.35">
      <c r="A10" t="s">
        <v>102</v>
      </c>
      <c r="B10">
        <v>6000</v>
      </c>
      <c r="F10" t="s">
        <v>111</v>
      </c>
    </row>
    <row r="11" spans="1:6" x14ac:dyDescent="0.35">
      <c r="A11" t="s">
        <v>103</v>
      </c>
      <c r="B11">
        <v>15000</v>
      </c>
      <c r="F11" t="s">
        <v>112</v>
      </c>
    </row>
    <row r="12" spans="1:6" x14ac:dyDescent="0.35">
      <c r="F1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Session1_Project</vt:lpstr>
      <vt:lpstr>Session2_Project</vt:lpstr>
      <vt:lpstr>Session3_Project</vt:lpstr>
      <vt:lpstr>Session4_Project</vt:lpstr>
      <vt:lpstr>Session5_Project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PRIYANSHU PATEL</cp:lastModifiedBy>
  <dcterms:created xsi:type="dcterms:W3CDTF">2026-02-17T18:13:19Z</dcterms:created>
  <dcterms:modified xsi:type="dcterms:W3CDTF">2026-03-05T17:31:32Z</dcterms:modified>
</cp:coreProperties>
</file>